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activeX/activeX2.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240" yWindow="90" windowWidth="19440" windowHeight="8505" tabRatio="854" firstSheet="1" activeTab="12"/>
  </bookViews>
  <sheets>
    <sheet name="Question Paper for Excel" sheetId="4" r:id="rId1"/>
    <sheet name="Question 1" sheetId="5" r:id="rId2"/>
    <sheet name="Question 2" sheetId="6" r:id="rId3"/>
    <sheet name="Question 3" sheetId="7" r:id="rId4"/>
    <sheet name="Question 4" sheetId="8" r:id="rId5"/>
    <sheet name="Question 5" sheetId="9" r:id="rId6"/>
    <sheet name="Question 6" sheetId="10" r:id="rId7"/>
    <sheet name="Question 7" sheetId="11" r:id="rId8"/>
    <sheet name="Question 8" sheetId="12" r:id="rId9"/>
    <sheet name="Question 9" sheetId="13" r:id="rId10"/>
    <sheet name="Question 10" sheetId="14" r:id="rId11"/>
    <sheet name="Question 11" sheetId="15" r:id="rId12"/>
    <sheet name="Question 12" sheetId="16" r:id="rId13"/>
    <sheet name="Question 13" sheetId="17" r:id="rId14"/>
    <sheet name="Question 14" sheetId="18" r:id="rId15"/>
    <sheet name="Question 15" sheetId="19" r:id="rId16"/>
    <sheet name="Question 16" sheetId="21" r:id="rId17"/>
    <sheet name="Question 17" sheetId="22" r:id="rId18"/>
    <sheet name="Question 18" sheetId="23" r:id="rId19"/>
    <sheet name="Question 19" sheetId="24" r:id="rId20"/>
    <sheet name="Question 20" sheetId="20" r:id="rId21"/>
    <sheet name="Question 21" sheetId="25" r:id="rId22"/>
    <sheet name="Question 22" sheetId="26" r:id="rId23"/>
    <sheet name="Question 23" sheetId="27" r:id="rId24"/>
    <sheet name="Question 24" sheetId="28" r:id="rId25"/>
  </sheets>
  <definedNames>
    <definedName name="_xlnm._FilterDatabase" localSheetId="1" hidden="1">'Question 1'!$D$5:$F$19</definedName>
    <definedName name="_xlnm._FilterDatabase" localSheetId="10" hidden="1">'Question 10'!$E$7:$E$45</definedName>
    <definedName name="_xlnm._FilterDatabase" localSheetId="12" hidden="1">'Question 12'!$E$8:$H$23</definedName>
    <definedName name="_xlnm._FilterDatabase" localSheetId="23" hidden="1">'Question 23'!$B$2:$C$6</definedName>
    <definedName name="_xlnm._FilterDatabase" localSheetId="3" hidden="1">'Question 3'!$H$6:$H$32</definedName>
    <definedName name="_xlnm._FilterDatabase" localSheetId="8" hidden="1">'Question 8'!$D$7:$E$28</definedName>
    <definedName name="_xlnm.Extract" localSheetId="12">'Question 12'!$A$6</definedName>
  </definedNames>
  <calcPr calcId="125725"/>
  <pivotCaches>
    <pivotCache cacheId="5" r:id="rId26"/>
  </pivotCaches>
</workbook>
</file>

<file path=xl/calcChain.xml><?xml version="1.0" encoding="utf-8"?>
<calcChain xmlns="http://schemas.openxmlformats.org/spreadsheetml/2006/main">
  <c r="H7" i="13"/>
  <c r="H12"/>
  <c r="G7" i="11"/>
  <c r="F28" i="10"/>
  <c r="G9" i="6"/>
  <c r="H11" i="13"/>
  <c r="H10"/>
  <c r="H9"/>
  <c r="H8"/>
  <c r="C9" i="18"/>
  <c r="C8"/>
  <c r="C7"/>
  <c r="H9" i="16"/>
  <c r="E28" i="8"/>
  <c r="N30" i="4" l="1"/>
</calcChain>
</file>

<file path=xl/comments1.xml><?xml version="1.0" encoding="utf-8"?>
<comments xmlns="http://schemas.openxmlformats.org/spreadsheetml/2006/main">
  <authors>
    <author>dsing36</author>
  </authors>
  <commentList>
    <comment ref="O5" authorId="0">
      <text>
        <r>
          <rPr>
            <b/>
            <sz val="8"/>
            <color indexed="81"/>
            <rFont val="Tahoma"/>
            <family val="2"/>
          </rPr>
          <t>dsing36:</t>
        </r>
        <r>
          <rPr>
            <sz val="8"/>
            <color indexed="81"/>
            <rFont val="Tahoma"/>
            <family val="2"/>
          </rPr>
          <t xml:space="preserve">
For UHG Official Use</t>
        </r>
      </text>
    </comment>
  </commentList>
</comments>
</file>

<file path=xl/sharedStrings.xml><?xml version="1.0" encoding="utf-8"?>
<sst xmlns="http://schemas.openxmlformats.org/spreadsheetml/2006/main" count="751" uniqueCount="229">
  <si>
    <t>Go to Question By Clicking on numbers</t>
  </si>
  <si>
    <t>Hi</t>
  </si>
  <si>
    <t>Question No</t>
  </si>
  <si>
    <t>Marks</t>
  </si>
  <si>
    <t>Achieved</t>
  </si>
  <si>
    <t>Greetings!!!</t>
  </si>
  <si>
    <t>Welcome to UnitedHealth Group Interview!!</t>
  </si>
  <si>
    <t>Please provide the given details before you start the Test</t>
  </si>
  <si>
    <t>Best of Luck for the test!!</t>
  </si>
  <si>
    <t>Name</t>
  </si>
  <si>
    <t>DOB</t>
  </si>
  <si>
    <t>Mobile No</t>
  </si>
  <si>
    <t>Rules</t>
  </si>
  <si>
    <t>Click on Start and then OK to begin the test</t>
  </si>
  <si>
    <t>You can come back to HOME page anytime and go to any question using Question No. link</t>
  </si>
  <si>
    <t>Total Marks</t>
  </si>
  <si>
    <t>Do not delete, Edit and modify any dataset or range</t>
  </si>
  <si>
    <t>Click on End Test to finish the test</t>
  </si>
  <si>
    <t>Home</t>
  </si>
  <si>
    <t>Next Question</t>
  </si>
  <si>
    <t>Question - Sort the data in descending order by Employee_Code and in Ascending order by Designation in one go and write the method for the same as per the guidence in sample row</t>
  </si>
  <si>
    <t>EMPLOYEE_CODE</t>
  </si>
  <si>
    <t>EMPLOYEE_NAME</t>
  </si>
  <si>
    <t>DESIGNATION</t>
  </si>
  <si>
    <t>Sandeepan Dutta Rao</t>
  </si>
  <si>
    <t>Claim Associate</t>
  </si>
  <si>
    <t>Shafali Mehta Kumari</t>
  </si>
  <si>
    <t>Saurabh Sharma Seth</t>
  </si>
  <si>
    <t>Narbira</t>
  </si>
  <si>
    <t>Pankaj</t>
  </si>
  <si>
    <t>Neeraj</t>
  </si>
  <si>
    <t>Ashish</t>
  </si>
  <si>
    <t>Jawed</t>
  </si>
  <si>
    <t>Rehim</t>
  </si>
  <si>
    <t>Coding Analyst</t>
  </si>
  <si>
    <t>Delber</t>
  </si>
  <si>
    <t>Assist. Manager</t>
  </si>
  <si>
    <t>Mangal</t>
  </si>
  <si>
    <t>Deputy Manager</t>
  </si>
  <si>
    <t>Praveen</t>
  </si>
  <si>
    <t>Sr Claim Associate</t>
  </si>
  <si>
    <t>Vijai A</t>
  </si>
  <si>
    <t>Suneet</t>
  </si>
  <si>
    <t>Previous Question</t>
  </si>
  <si>
    <t>Question</t>
  </si>
  <si>
    <t>Employee_Code are not well set, We need 9 Digit Employee Codes starting with "000" for given Employee Codes</t>
  </si>
  <si>
    <t>Use only one filter to show SR CODING ANALYST and SR CLAIM ASSOCIATE Together</t>
  </si>
  <si>
    <t>TITLE</t>
  </si>
  <si>
    <t xml:space="preserve">MR        </t>
  </si>
  <si>
    <t>Shashank Shekhar Tiwari</t>
  </si>
  <si>
    <t>Sr Coding Analyst</t>
  </si>
  <si>
    <t>Dilber Singh</t>
  </si>
  <si>
    <t>Parveen Kumar</t>
  </si>
  <si>
    <t>Sunil Dutt</t>
  </si>
  <si>
    <t>Ashok Kumar</t>
  </si>
  <si>
    <t xml:space="preserve">MS        </t>
  </si>
  <si>
    <t>Uma Sundaram</t>
  </si>
  <si>
    <t>Ravindra Pal Singh</t>
  </si>
  <si>
    <t>Ashish Kumar Singh</t>
  </si>
  <si>
    <t>Ankit Khanna</t>
  </si>
  <si>
    <t>Siraj Ahmad</t>
  </si>
  <si>
    <t>Dinesh Verma</t>
  </si>
  <si>
    <t>Narendra Singh</t>
  </si>
  <si>
    <t>Amiya Singh</t>
  </si>
  <si>
    <t>Manish Sharma</t>
  </si>
  <si>
    <t>Mohd Furqan</t>
  </si>
  <si>
    <t>Bikash Chandra Sahu</t>
  </si>
  <si>
    <t>NULL</t>
  </si>
  <si>
    <t>Phani Jakka</t>
  </si>
  <si>
    <t>Veerendra Rathore</t>
  </si>
  <si>
    <t>Sushma Gopala</t>
  </si>
  <si>
    <t>Chandra Sekhar</t>
  </si>
  <si>
    <t>Deepayan Mondal</t>
  </si>
  <si>
    <t>Aman Jain</t>
  </si>
  <si>
    <t>Subject Matter Expert</t>
  </si>
  <si>
    <t>Ramkrushna Barik</t>
  </si>
  <si>
    <t>Sakhamuri Seenaiah</t>
  </si>
  <si>
    <t>Abhay Kumar Jain</t>
  </si>
  <si>
    <t>Krishna Kovelakar</t>
  </si>
  <si>
    <t>Question  - Sum the Amt column using Formula</t>
  </si>
  <si>
    <t>Amt</t>
  </si>
  <si>
    <t>Narbir Singh Raghav</t>
  </si>
  <si>
    <t>Suneeta Sarwar</t>
  </si>
  <si>
    <t>Ashish Arora</t>
  </si>
  <si>
    <t>Pankaj Gupta</t>
  </si>
  <si>
    <t>Shafali Mehta</t>
  </si>
  <si>
    <t>Null</t>
  </si>
  <si>
    <t>Jawed Nehal</t>
  </si>
  <si>
    <t>Hafiz Ul Rehman</t>
  </si>
  <si>
    <t>Sudha Jha</t>
  </si>
  <si>
    <t>Deepak Kumar Singh</t>
  </si>
  <si>
    <t>Yaiphaleima Konjengbam</t>
  </si>
  <si>
    <t>Vikas Chhetri</t>
  </si>
  <si>
    <t>Om Prakash</t>
  </si>
  <si>
    <t>Faheem Ahmed</t>
  </si>
  <si>
    <t>Dhirender Singh</t>
  </si>
  <si>
    <t>Vandana Chopra</t>
  </si>
  <si>
    <t>Prerna Bhatia</t>
  </si>
  <si>
    <t>Grand Total</t>
  </si>
  <si>
    <t>5. When you see a cell with a red triangle in the top right corner, what does this signify?</t>
  </si>
  <si>
    <t>a)</t>
  </si>
  <si>
    <t>There is an error in the cell</t>
  </si>
  <si>
    <t>b)</t>
  </si>
  <si>
    <t>There is a comment associated with the cell</t>
  </si>
  <si>
    <t>c)</t>
  </si>
  <si>
    <t>The font colour for text in the cell is red</t>
  </si>
  <si>
    <t>d)</t>
  </si>
  <si>
    <t>A formula cannot be entered into the cell</t>
  </si>
  <si>
    <t>Ans -</t>
  </si>
  <si>
    <t>Use FORMULA in order to calculate the count of all values in Amt column</t>
  </si>
  <si>
    <t>COUNT</t>
  </si>
  <si>
    <t>Calculate Length of names using FORMULA</t>
  </si>
  <si>
    <t>Length</t>
  </si>
  <si>
    <t>Highlight (colour) Duplicates from the given Name list using Filter or Formula</t>
  </si>
  <si>
    <t>Zia Shekh</t>
  </si>
  <si>
    <t>Populate Full name Column using FORMULA</t>
  </si>
  <si>
    <t>First Name</t>
  </si>
  <si>
    <t>Last Name</t>
  </si>
  <si>
    <t>Full Name</t>
  </si>
  <si>
    <t>Narbir</t>
  </si>
  <si>
    <t>Singh</t>
  </si>
  <si>
    <t>Zia</t>
  </si>
  <si>
    <t>Shekh</t>
  </si>
  <si>
    <t>Arora</t>
  </si>
  <si>
    <t xml:space="preserve">Pankaj </t>
  </si>
  <si>
    <t>Gupta</t>
  </si>
  <si>
    <t>Kumar</t>
  </si>
  <si>
    <t>Filter out =&lt; 1400 from the given AMT column</t>
  </si>
  <si>
    <t>AMT</t>
  </si>
  <si>
    <t>Insert a Pivot table in the same sheet having DESIGNATION WISE EMPLOYEE COUNT</t>
  </si>
  <si>
    <t>Use IF function to assign Given Grades for Designation Column</t>
  </si>
  <si>
    <t>Grade</t>
  </si>
  <si>
    <t>Reporting Analyst</t>
  </si>
  <si>
    <t>NA</t>
  </si>
  <si>
    <t>Varun Sharma</t>
  </si>
  <si>
    <t>ACTUAL_UTI</t>
  </si>
  <si>
    <t>FORMULA COL</t>
  </si>
  <si>
    <t xml:space="preserve">Question - </t>
  </si>
  <si>
    <t>Using formula please adjust the numeric values till 2 decimal points only</t>
  </si>
  <si>
    <t xml:space="preserve">Question </t>
  </si>
  <si>
    <t>Using formula's Get Highest value, Lowest value and Mean from the given dataset</t>
  </si>
  <si>
    <t>Ans</t>
  </si>
  <si>
    <t>Highest Value</t>
  </si>
  <si>
    <t>Lowest Value</t>
  </si>
  <si>
    <t>Mean</t>
  </si>
  <si>
    <t>When you press enter in Excel by default it goes down, Please change it to Right and write the procedure how to do that</t>
  </si>
  <si>
    <t>Look carefully for the pattern, and then choose which pair of numbers comes next</t>
  </si>
  <si>
    <t>Question:</t>
  </si>
  <si>
    <t>25 22</t>
  </si>
  <si>
    <t>26 23</t>
  </si>
  <si>
    <t>26 24</t>
  </si>
  <si>
    <t>25 23</t>
  </si>
  <si>
    <t>26 22</t>
  </si>
  <si>
    <t>Answer :</t>
  </si>
  <si>
    <t>42 40 38 35 33 31 28</t>
  </si>
  <si>
    <t>:-</t>
  </si>
  <si>
    <t>In the first 10 overs of a cricket game, the run rate was only 3.2. What should be the run rate in the remaining 40 overs to reach the target of 282 runs?</t>
  </si>
  <si>
    <t>A</t>
  </si>
  <si>
    <t>C</t>
  </si>
  <si>
    <t>B</t>
  </si>
  <si>
    <t>D</t>
  </si>
  <si>
    <t>E</t>
  </si>
  <si>
    <t xml:space="preserve">An accurate clock shows 8 o'clock in the morning. Through how may degrees will the hour hand rotate when the clock shows 2 o'clock in the afternoon? 
</t>
  </si>
  <si>
    <t>144º</t>
  </si>
  <si>
    <t>168º</t>
  </si>
  <si>
    <t>150º</t>
  </si>
  <si>
    <t>180º</t>
  </si>
  <si>
    <t xml:space="preserve">     Find Odd one out</t>
  </si>
  <si>
    <t xml:space="preserve">Total Time Taken (Mins) - </t>
  </si>
  <si>
    <t xml:space="preserve">Test Start Time - </t>
  </si>
  <si>
    <t xml:space="preserve">Expected End Time - </t>
  </si>
  <si>
    <t>6. Add the Below mention Text using Function.</t>
  </si>
  <si>
    <t xml:space="preserve"> Add the Below mention Text using Function.</t>
  </si>
  <si>
    <t>India</t>
  </si>
  <si>
    <t>Is</t>
  </si>
  <si>
    <t>Great</t>
  </si>
  <si>
    <t>Enter Formula Here</t>
  </si>
  <si>
    <t>India is Great</t>
  </si>
  <si>
    <t>Result Should be</t>
  </si>
  <si>
    <t>Abdulla</t>
  </si>
  <si>
    <t>Amit</t>
  </si>
  <si>
    <t>Sharma</t>
  </si>
  <si>
    <t>Middle</t>
  </si>
  <si>
    <t>Please set Employee Codes starting with 000 with the help of formula</t>
  </si>
  <si>
    <t>Date</t>
  </si>
  <si>
    <t>Last Date of the Month</t>
  </si>
  <si>
    <t>3-Aug-98 till 10-Aug-98</t>
  </si>
  <si>
    <t>Week Start Date and End date (Considering Monday as week start day)</t>
  </si>
  <si>
    <t>&lt;== Example</t>
  </si>
  <si>
    <t>As per Govt Guidelines, overtime hours are required to be paid to employees for the number of Hours employee worked.</t>
  </si>
  <si>
    <t>If employee did Overtime for 20 min then there Is no payout but after 29 Min (i.e. 30 min and onward employee should be paid OT</t>
  </si>
  <si>
    <t>However if employee is doing OT for 31 min then OT to be paid for 60 Min, and in case of 60 Min only 60 will be paid, however in case of 65 in OT , 90 Min will be paid.</t>
  </si>
  <si>
    <t>OT to be paid for</t>
  </si>
  <si>
    <t>OT to be paid as per 30 min interval.</t>
  </si>
  <si>
    <t xml:space="preserve">Consider below grid for OT hours </t>
  </si>
  <si>
    <t>OT Minutes (Including Break) From</t>
  </si>
  <si>
    <t>OT Minutes (Including Break) To</t>
  </si>
  <si>
    <t>Eligible Break</t>
  </si>
  <si>
    <t>WeekDay</t>
  </si>
  <si>
    <t>&lt; 60</t>
  </si>
  <si>
    <t>&lt; 90</t>
  </si>
  <si>
    <t>&lt; 180</t>
  </si>
  <si>
    <t>&lt; 270</t>
  </si>
  <si>
    <t>&lt; 300</t>
  </si>
  <si>
    <t>Weekoff / Holiday</t>
  </si>
  <si>
    <t>&lt; 570</t>
  </si>
  <si>
    <t>&lt; 690</t>
  </si>
  <si>
    <t>&lt; 840</t>
  </si>
  <si>
    <t>OT Delivered</t>
  </si>
  <si>
    <t>Weekday / Weekoff</t>
  </si>
  <si>
    <t>Weekday</t>
  </si>
  <si>
    <t>Weekoff</t>
  </si>
  <si>
    <t>Original Text</t>
  </si>
  <si>
    <t>Start
Position</t>
  </si>
  <si>
    <t>New
Character</t>
  </si>
  <si>
    <t>Modified
Text</t>
  </si>
  <si>
    <t>ABCDEFGH</t>
  </si>
  <si>
    <t>x</t>
  </si>
  <si>
    <t>hello</t>
  </si>
  <si>
    <t>Characters
To be Chnaged</t>
  </si>
  <si>
    <t>AxCDEFGH</t>
  </si>
  <si>
    <t xml:space="preserve"> &lt;&lt; Exmaple</t>
  </si>
  <si>
    <r>
      <t xml:space="preserve">There are 24 questions, all are necessary in </t>
    </r>
    <r>
      <rPr>
        <b/>
        <sz val="10"/>
        <rFont val="Arial"/>
        <family val="2"/>
      </rPr>
      <t>24 Minutes</t>
    </r>
    <r>
      <rPr>
        <sz val="10"/>
        <rFont val="Arial"/>
        <family val="2"/>
      </rPr>
      <t xml:space="preserve"> (Each Question 1 min)</t>
    </r>
  </si>
  <si>
    <t>Updated employee code</t>
  </si>
  <si>
    <t>Ishminder Singh</t>
  </si>
  <si>
    <t>COMMENT</t>
  </si>
  <si>
    <t>=</t>
  </si>
  <si>
    <t>Row Labels</t>
  </si>
  <si>
    <t>Column Labels</t>
  </si>
</sst>
</file>

<file path=xl/styles.xml><?xml version="1.0" encoding="utf-8"?>
<styleSheet xmlns="http://schemas.openxmlformats.org/spreadsheetml/2006/main">
  <numFmts count="3">
    <numFmt numFmtId="164" formatCode="000000000"/>
    <numFmt numFmtId="165" formatCode="0.0%"/>
    <numFmt numFmtId="166" formatCode="0.0"/>
  </numFmts>
  <fonts count="23">
    <font>
      <sz val="11"/>
      <color theme="1"/>
      <name val="Calibri"/>
      <family val="2"/>
      <scheme val="minor"/>
    </font>
    <font>
      <sz val="10"/>
      <name val="Arial"/>
      <family val="2"/>
    </font>
    <font>
      <b/>
      <sz val="10"/>
      <name val="Arial"/>
      <family val="2"/>
    </font>
    <font>
      <u/>
      <sz val="10"/>
      <color indexed="12"/>
      <name val="Arial"/>
      <family val="2"/>
    </font>
    <font>
      <b/>
      <sz val="8"/>
      <color indexed="81"/>
      <name val="Tahoma"/>
      <family val="2"/>
    </font>
    <font>
      <sz val="8"/>
      <color indexed="81"/>
      <name val="Tahoma"/>
      <family val="2"/>
    </font>
    <font>
      <b/>
      <u/>
      <sz val="12"/>
      <color indexed="12"/>
      <name val="Arial"/>
      <family val="2"/>
    </font>
    <font>
      <b/>
      <u/>
      <sz val="10"/>
      <color indexed="12"/>
      <name val="Arial"/>
      <family val="2"/>
    </font>
    <font>
      <sz val="10"/>
      <color indexed="8"/>
      <name val="Verdana"/>
      <family val="2"/>
    </font>
    <font>
      <sz val="10"/>
      <name val="Verdana"/>
      <family val="2"/>
    </font>
    <font>
      <b/>
      <sz val="10"/>
      <color indexed="9"/>
      <name val="Arial"/>
      <family val="2"/>
    </font>
    <font>
      <b/>
      <sz val="11"/>
      <color theme="1"/>
      <name val="Calibri"/>
      <family val="2"/>
      <scheme val="minor"/>
    </font>
    <font>
      <b/>
      <sz val="12"/>
      <color theme="1"/>
      <name val="Calibri"/>
      <family val="2"/>
      <scheme val="minor"/>
    </font>
    <font>
      <sz val="12"/>
      <name val="Arial"/>
      <family val="2"/>
    </font>
    <font>
      <b/>
      <sz val="10"/>
      <color indexed="12"/>
      <name val="Arial"/>
      <family val="2"/>
    </font>
    <font>
      <sz val="12"/>
      <name val="Calibri"/>
      <family val="2"/>
      <scheme val="minor"/>
    </font>
    <font>
      <sz val="10"/>
      <name val="Cambria"/>
      <family val="1"/>
      <scheme val="major"/>
    </font>
    <font>
      <b/>
      <sz val="9"/>
      <color rgb="FFFFFFFF"/>
      <name val="Calibri"/>
      <family val="2"/>
      <scheme val="minor"/>
    </font>
    <font>
      <sz val="9"/>
      <color rgb="FF1F497D"/>
      <name val="Calibri"/>
      <family val="2"/>
      <scheme val="minor"/>
    </font>
    <font>
      <sz val="10"/>
      <name val="Arial"/>
    </font>
    <font>
      <sz val="10"/>
      <color indexed="20"/>
      <name val="Arial"/>
      <family val="2"/>
    </font>
    <font>
      <sz val="10"/>
      <color indexed="12"/>
      <name val="Arial"/>
      <family val="2"/>
    </font>
    <font>
      <b/>
      <sz val="10"/>
      <color rgb="FFFF0000"/>
      <name val="Arial"/>
      <family val="2"/>
    </font>
  </fonts>
  <fills count="11">
    <fill>
      <patternFill patternType="none"/>
    </fill>
    <fill>
      <patternFill patternType="gray125"/>
    </fill>
    <fill>
      <patternFill patternType="solid">
        <fgColor indexed="52"/>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rgb="FFD19000"/>
        <bgColor indexed="64"/>
      </patternFill>
    </fill>
    <fill>
      <patternFill patternType="solid">
        <fgColor indexed="22"/>
      </patternFill>
    </fill>
    <fill>
      <patternFill patternType="solid">
        <fgColor indexed="26"/>
      </patternFill>
    </fill>
    <fill>
      <patternFill patternType="solid">
        <fgColor rgb="FFFFFF00"/>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5">
    <xf numFmtId="0" fontId="0" fillId="0" borderId="0"/>
    <xf numFmtId="0" fontId="1" fillId="0" borderId="0"/>
    <xf numFmtId="0" fontId="3" fillId="0" borderId="0" applyNumberFormat="0" applyFill="0" applyBorder="0" applyAlignment="0" applyProtection="0">
      <alignment vertical="top"/>
      <protection locked="0"/>
    </xf>
    <xf numFmtId="0" fontId="19" fillId="8" borderId="0" applyNumberFormat="0" applyFont="0" applyBorder="0" applyAlignment="0" applyProtection="0"/>
    <xf numFmtId="0" fontId="19" fillId="9" borderId="0" applyNumberFormat="0" applyFont="0" applyBorder="0" applyAlignment="0" applyProtection="0"/>
  </cellStyleXfs>
  <cellXfs count="156">
    <xf numFmtId="0" fontId="0" fillId="0" borderId="0" xfId="0"/>
    <xf numFmtId="0" fontId="1" fillId="0" borderId="0" xfId="1"/>
    <xf numFmtId="0" fontId="2" fillId="0" borderId="1" xfId="1" applyFont="1" applyBorder="1" applyAlignment="1">
      <alignment horizontal="center"/>
    </xf>
    <xf numFmtId="0" fontId="2" fillId="2" borderId="1" xfId="1" applyFont="1" applyFill="1" applyBorder="1" applyAlignment="1">
      <alignment horizontal="center"/>
    </xf>
    <xf numFmtId="0" fontId="2" fillId="2" borderId="2" xfId="1" applyFont="1" applyFill="1" applyBorder="1" applyAlignment="1">
      <alignment horizontal="center"/>
    </xf>
    <xf numFmtId="0" fontId="3" fillId="0" borderId="3" xfId="2" applyBorder="1" applyAlignment="1" applyProtection="1">
      <alignment horizontal="center"/>
    </xf>
    <xf numFmtId="0" fontId="1" fillId="2" borderId="3" xfId="1" applyFill="1" applyBorder="1" applyAlignment="1">
      <alignment horizontal="center"/>
    </xf>
    <xf numFmtId="0" fontId="1" fillId="2" borderId="4" xfId="1" applyFill="1" applyBorder="1"/>
    <xf numFmtId="0" fontId="3" fillId="0" borderId="5" xfId="2" applyBorder="1" applyAlignment="1" applyProtection="1">
      <alignment horizontal="center"/>
    </xf>
    <xf numFmtId="0" fontId="1" fillId="2" borderId="5" xfId="1" applyFill="1" applyBorder="1" applyAlignment="1">
      <alignment horizontal="center"/>
    </xf>
    <xf numFmtId="0" fontId="1" fillId="2" borderId="6" xfId="1" applyFill="1" applyBorder="1"/>
    <xf numFmtId="0" fontId="2" fillId="0" borderId="1" xfId="1" applyFont="1" applyBorder="1"/>
    <xf numFmtId="0" fontId="2" fillId="0" borderId="0" xfId="1" applyFont="1"/>
    <xf numFmtId="0" fontId="1" fillId="0" borderId="0" xfId="1" applyAlignment="1">
      <alignment horizontal="left"/>
    </xf>
    <xf numFmtId="0" fontId="3" fillId="0" borderId="9" xfId="2" applyBorder="1" applyAlignment="1" applyProtection="1">
      <alignment horizontal="center"/>
    </xf>
    <xf numFmtId="0" fontId="1" fillId="2" borderId="9" xfId="1" applyFill="1" applyBorder="1" applyAlignment="1">
      <alignment horizontal="center"/>
    </xf>
    <xf numFmtId="0" fontId="1" fillId="2" borderId="10" xfId="1" applyFill="1" applyBorder="1"/>
    <xf numFmtId="0" fontId="1" fillId="0" borderId="1" xfId="1" applyBorder="1"/>
    <xf numFmtId="0" fontId="1" fillId="0" borderId="0" xfId="1" quotePrefix="1" applyFont="1"/>
    <xf numFmtId="0" fontId="6" fillId="0" borderId="0" xfId="2" applyFont="1" applyAlignment="1" applyProtection="1"/>
    <xf numFmtId="0" fontId="7" fillId="0" borderId="0" xfId="2" applyFont="1" applyAlignment="1" applyProtection="1"/>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164" fontId="1" fillId="0" borderId="14" xfId="1" applyNumberFormat="1" applyBorder="1" applyAlignment="1">
      <alignment horizontal="center"/>
    </xf>
    <xf numFmtId="0" fontId="1" fillId="0" borderId="15" xfId="1" applyBorder="1" applyAlignment="1">
      <alignment horizontal="center"/>
    </xf>
    <xf numFmtId="0" fontId="1" fillId="0" borderId="16" xfId="1" applyBorder="1" applyAlignment="1">
      <alignment horizontal="center"/>
    </xf>
    <xf numFmtId="164" fontId="1" fillId="0" borderId="17" xfId="1" applyNumberFormat="1" applyBorder="1" applyAlignment="1">
      <alignment horizontal="center"/>
    </xf>
    <xf numFmtId="0" fontId="1" fillId="0" borderId="18" xfId="1" applyBorder="1" applyAlignment="1">
      <alignment horizontal="center"/>
    </xf>
    <xf numFmtId="0" fontId="1" fillId="0" borderId="19" xfId="1" applyBorder="1" applyAlignment="1">
      <alignment horizontal="center"/>
    </xf>
    <xf numFmtId="164" fontId="1" fillId="0" borderId="20" xfId="1" applyNumberFormat="1" applyBorder="1" applyAlignment="1">
      <alignment horizontal="center"/>
    </xf>
    <xf numFmtId="0" fontId="1" fillId="0" borderId="21" xfId="1" applyBorder="1" applyAlignment="1">
      <alignment horizontal="center"/>
    </xf>
    <xf numFmtId="0" fontId="1" fillId="0" borderId="22" xfId="1" applyBorder="1" applyAlignment="1">
      <alignment horizontal="center"/>
    </xf>
    <xf numFmtId="0" fontId="2" fillId="0" borderId="0" xfId="1" applyFont="1" applyAlignment="1">
      <alignment horizontal="left"/>
    </xf>
    <xf numFmtId="0" fontId="1" fillId="0" borderId="0" xfId="1" quotePrefix="1" applyNumberFormat="1" applyAlignment="1">
      <alignment horizontal="left"/>
    </xf>
    <xf numFmtId="0" fontId="8" fillId="0" borderId="0" xfId="1" applyFont="1"/>
    <xf numFmtId="0" fontId="9" fillId="0" borderId="0" xfId="1" applyFont="1" applyAlignment="1">
      <alignment wrapText="1"/>
    </xf>
    <xf numFmtId="0" fontId="1" fillId="0" borderId="0" xfId="1" applyAlignment="1">
      <alignment horizontal="center"/>
    </xf>
    <xf numFmtId="0" fontId="9" fillId="0" borderId="0" xfId="1" applyFont="1" applyAlignment="1">
      <alignment horizontal="left"/>
    </xf>
    <xf numFmtId="0" fontId="1" fillId="0" borderId="0" xfId="1" applyFont="1"/>
    <xf numFmtId="0" fontId="1" fillId="0" borderId="7" xfId="1" applyBorder="1" applyAlignment="1">
      <alignment horizontal="center"/>
    </xf>
    <xf numFmtId="0" fontId="1" fillId="0" borderId="8" xfId="1" applyBorder="1" applyAlignment="1">
      <alignment horizontal="center"/>
    </xf>
    <xf numFmtId="0" fontId="2" fillId="0" borderId="11" xfId="1" applyFont="1" applyBorder="1"/>
    <xf numFmtId="0" fontId="2" fillId="0" borderId="13" xfId="1" applyFont="1" applyBorder="1"/>
    <xf numFmtId="0" fontId="1" fillId="0" borderId="14" xfId="1" applyBorder="1"/>
    <xf numFmtId="0" fontId="1" fillId="0" borderId="16" xfId="1" applyBorder="1"/>
    <xf numFmtId="0" fontId="1" fillId="0" borderId="17" xfId="1" applyBorder="1"/>
    <xf numFmtId="0" fontId="1" fillId="0" borderId="19" xfId="1" applyBorder="1"/>
    <xf numFmtId="0" fontId="1" fillId="0" borderId="20" xfId="1" applyBorder="1"/>
    <xf numFmtId="0" fontId="1" fillId="0" borderId="22" xfId="1" applyBorder="1"/>
    <xf numFmtId="0" fontId="2" fillId="0" borderId="1" xfId="1" applyFont="1" applyBorder="1" applyAlignment="1">
      <alignment horizontal="left"/>
    </xf>
    <xf numFmtId="0" fontId="2" fillId="0" borderId="8" xfId="1" applyFont="1" applyBorder="1" applyAlignment="1">
      <alignment horizontal="left"/>
    </xf>
    <xf numFmtId="0" fontId="3" fillId="0" borderId="0" xfId="2" applyAlignment="1" applyProtection="1"/>
    <xf numFmtId="0" fontId="1" fillId="0" borderId="3" xfId="1" applyFill="1" applyBorder="1"/>
    <xf numFmtId="0" fontId="1" fillId="0" borderId="5" xfId="1" applyFill="1" applyBorder="1"/>
    <xf numFmtId="0" fontId="1" fillId="0" borderId="9" xfId="1" applyFill="1" applyBorder="1"/>
    <xf numFmtId="0" fontId="2" fillId="0" borderId="12" xfId="1" applyFont="1" applyBorder="1"/>
    <xf numFmtId="0" fontId="10" fillId="3" borderId="0" xfId="1" applyFont="1" applyFill="1" applyAlignment="1">
      <alignment horizontal="center"/>
    </xf>
    <xf numFmtId="0" fontId="1" fillId="4" borderId="0" xfId="1" applyFill="1" applyAlignment="1">
      <alignment horizontal="center"/>
    </xf>
    <xf numFmtId="0" fontId="2" fillId="0" borderId="2" xfId="1" applyFont="1" applyBorder="1"/>
    <xf numFmtId="0" fontId="2" fillId="0" borderId="7" xfId="1" applyFont="1" applyBorder="1"/>
    <xf numFmtId="0" fontId="2" fillId="0" borderId="8" xfId="1" applyFont="1" applyBorder="1"/>
    <xf numFmtId="0" fontId="1" fillId="0" borderId="23" xfId="1" applyBorder="1" applyAlignment="1">
      <alignment horizontal="left"/>
    </xf>
    <xf numFmtId="0" fontId="1" fillId="0" borderId="0" xfId="1" applyBorder="1" applyAlignment="1">
      <alignment horizontal="left"/>
    </xf>
    <xf numFmtId="0" fontId="1" fillId="0" borderId="24" xfId="1" applyBorder="1" applyAlignment="1">
      <alignment horizontal="left"/>
    </xf>
    <xf numFmtId="0" fontId="1" fillId="0" borderId="25" xfId="1" applyBorder="1" applyAlignment="1">
      <alignment horizontal="left"/>
    </xf>
    <xf numFmtId="0" fontId="1" fillId="0" borderId="26" xfId="1" applyBorder="1" applyAlignment="1">
      <alignment horizontal="left"/>
    </xf>
    <xf numFmtId="0" fontId="1" fillId="0" borderId="27" xfId="1" applyBorder="1" applyAlignment="1">
      <alignment horizontal="left"/>
    </xf>
    <xf numFmtId="0" fontId="2" fillId="0" borderId="0" xfId="1" applyFont="1" applyBorder="1" applyAlignment="1">
      <alignment horizontal="left"/>
    </xf>
    <xf numFmtId="0" fontId="2" fillId="0" borderId="14" xfId="1" applyFont="1" applyBorder="1" applyAlignment="1">
      <alignment horizontal="left"/>
    </xf>
    <xf numFmtId="0" fontId="1" fillId="0" borderId="16" xfId="1" applyFont="1" applyBorder="1" applyAlignment="1">
      <alignment horizontal="center"/>
    </xf>
    <xf numFmtId="0" fontId="2" fillId="0" borderId="20" xfId="1" applyFont="1" applyBorder="1" applyAlignment="1">
      <alignment horizontal="left"/>
    </xf>
    <xf numFmtId="0" fontId="1" fillId="0" borderId="22" xfId="1" applyFont="1" applyBorder="1" applyAlignment="1">
      <alignment horizontal="center"/>
    </xf>
    <xf numFmtId="0" fontId="2" fillId="0" borderId="2" xfId="1" applyFont="1" applyBorder="1" applyAlignment="1">
      <alignment horizontal="left"/>
    </xf>
    <xf numFmtId="0" fontId="2" fillId="0" borderId="7" xfId="1" applyFont="1" applyBorder="1" applyAlignment="1">
      <alignment horizontal="left"/>
    </xf>
    <xf numFmtId="0" fontId="2" fillId="0" borderId="1" xfId="1" applyFont="1" applyFill="1" applyBorder="1" applyAlignment="1">
      <alignment horizontal="left"/>
    </xf>
    <xf numFmtId="0" fontId="1" fillId="0" borderId="23" xfId="1" applyBorder="1" applyAlignment="1">
      <alignment horizontal="center"/>
    </xf>
    <xf numFmtId="0" fontId="1" fillId="0" borderId="25" xfId="1" applyBorder="1" applyAlignment="1">
      <alignment horizontal="center"/>
    </xf>
    <xf numFmtId="0" fontId="1" fillId="0" borderId="26" xfId="1" applyFont="1" applyBorder="1" applyAlignment="1">
      <alignment horizontal="left"/>
    </xf>
    <xf numFmtId="0" fontId="1" fillId="0" borderId="27" xfId="1" applyFont="1" applyBorder="1" applyAlignment="1">
      <alignment horizontal="left"/>
    </xf>
    <xf numFmtId="165" fontId="1" fillId="0" borderId="0" xfId="1" applyNumberFormat="1"/>
    <xf numFmtId="166" fontId="1" fillId="0" borderId="0" xfId="1" applyNumberFormat="1" applyAlignment="1">
      <alignment horizontal="center"/>
    </xf>
    <xf numFmtId="0" fontId="1" fillId="0" borderId="0" xfId="1" applyNumberFormat="1"/>
    <xf numFmtId="0" fontId="1" fillId="0" borderId="1" xfId="1" applyBorder="1" applyAlignment="1">
      <alignment horizontal="left"/>
    </xf>
    <xf numFmtId="0" fontId="1" fillId="0" borderId="1" xfId="1" applyFont="1" applyBorder="1" applyAlignment="1">
      <alignment horizontal="left"/>
    </xf>
    <xf numFmtId="19" fontId="1" fillId="0" borderId="0" xfId="1" applyNumberFormat="1"/>
    <xf numFmtId="0" fontId="0" fillId="0" borderId="0" xfId="0" applyAlignment="1"/>
    <xf numFmtId="0" fontId="11" fillId="0" borderId="0" xfId="0" applyFont="1" applyAlignment="1"/>
    <xf numFmtId="0" fontId="2" fillId="0" borderId="18" xfId="1" applyFont="1" applyBorder="1"/>
    <xf numFmtId="0" fontId="1" fillId="0" borderId="18" xfId="1" applyBorder="1"/>
    <xf numFmtId="0" fontId="0" fillId="0" borderId="0" xfId="0" applyAlignment="1">
      <alignment horizontal="left" vertical="center" wrapText="1"/>
    </xf>
    <xf numFmtId="0" fontId="0" fillId="0" borderId="0" xfId="0" applyAlignment="1">
      <alignment wrapText="1"/>
    </xf>
    <xf numFmtId="0" fontId="11" fillId="0" borderId="0" xfId="0" applyFont="1"/>
    <xf numFmtId="0" fontId="12" fillId="0" borderId="0" xfId="0" applyFont="1"/>
    <xf numFmtId="0" fontId="13" fillId="0" borderId="0" xfId="1" applyFont="1"/>
    <xf numFmtId="0" fontId="14" fillId="0" borderId="0" xfId="2" applyFont="1" applyAlignment="1" applyProtection="1">
      <alignment horizontal="right" vertical="center" wrapText="1"/>
    </xf>
    <xf numFmtId="0" fontId="11" fillId="0" borderId="0" xfId="0" applyFont="1" applyAlignment="1">
      <alignment horizontal="left" vertical="center" wrapText="1"/>
    </xf>
    <xf numFmtId="0" fontId="11" fillId="0" borderId="0" xfId="0" applyFont="1" applyAlignment="1">
      <alignment horizontal="left"/>
    </xf>
    <xf numFmtId="0" fontId="14" fillId="0" borderId="0" xfId="2" applyFont="1" applyAlignment="1" applyProtection="1">
      <alignment horizontal="right" wrapText="1"/>
    </xf>
    <xf numFmtId="0" fontId="3" fillId="0" borderId="28" xfId="2" applyBorder="1" applyAlignment="1" applyProtection="1">
      <alignment horizontal="center"/>
    </xf>
    <xf numFmtId="0" fontId="1" fillId="2" borderId="28" xfId="1" applyFill="1" applyBorder="1" applyAlignment="1">
      <alignment horizontal="center"/>
    </xf>
    <xf numFmtId="0" fontId="1" fillId="2" borderId="25" xfId="1" applyFill="1" applyBorder="1"/>
    <xf numFmtId="0" fontId="16" fillId="4" borderId="18" xfId="0" applyFont="1" applyFill="1" applyBorder="1" applyAlignment="1">
      <alignment horizontal="center"/>
    </xf>
    <xf numFmtId="0" fontId="16" fillId="6" borderId="0" xfId="0" applyFont="1" applyFill="1" applyBorder="1"/>
    <xf numFmtId="0" fontId="2" fillId="0" borderId="32" xfId="1" applyFont="1" applyBorder="1"/>
    <xf numFmtId="0" fontId="1" fillId="0" borderId="33" xfId="1" applyBorder="1"/>
    <xf numFmtId="0" fontId="1" fillId="0" borderId="30" xfId="1" applyBorder="1"/>
    <xf numFmtId="0" fontId="1" fillId="0" borderId="34" xfId="1" applyBorder="1"/>
    <xf numFmtId="0" fontId="0" fillId="0" borderId="18" xfId="0" applyBorder="1"/>
    <xf numFmtId="15" fontId="0" fillId="0" borderId="18" xfId="0" applyNumberFormat="1" applyBorder="1"/>
    <xf numFmtId="0" fontId="0" fillId="0" borderId="18" xfId="0" applyBorder="1" applyAlignment="1">
      <alignment horizontal="center"/>
    </xf>
    <xf numFmtId="0" fontId="17" fillId="7" borderId="0" xfId="0" applyFont="1" applyFill="1" applyBorder="1" applyAlignment="1">
      <alignment horizontal="left" vertical="center" wrapText="1" inden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xf>
    <xf numFmtId="0" fontId="0" fillId="8" borderId="18" xfId="3" applyFont="1" applyBorder="1" applyAlignment="1">
      <alignment horizontal="center"/>
    </xf>
    <xf numFmtId="0" fontId="0" fillId="8" borderId="18" xfId="3" applyFont="1" applyBorder="1" applyAlignment="1">
      <alignment horizontal="center" wrapText="1"/>
    </xf>
    <xf numFmtId="0" fontId="20" fillId="9" borderId="18" xfId="4" applyFont="1" applyBorder="1" applyAlignment="1">
      <alignment horizontal="center"/>
    </xf>
    <xf numFmtId="0" fontId="21" fillId="9" borderId="18" xfId="4" applyFont="1" applyBorder="1" applyAlignment="1">
      <alignment horizontal="center"/>
    </xf>
    <xf numFmtId="0" fontId="2" fillId="0" borderId="0" xfId="1" applyFont="1" applyAlignment="1">
      <alignment horizontal="left"/>
    </xf>
    <xf numFmtId="0" fontId="1" fillId="10" borderId="0" xfId="1" applyFill="1"/>
    <xf numFmtId="0" fontId="2" fillId="10" borderId="0" xfId="1" applyFont="1" applyFill="1" applyAlignment="1">
      <alignment horizontal="center"/>
    </xf>
    <xf numFmtId="0" fontId="1" fillId="10" borderId="2" xfId="1" applyFill="1" applyBorder="1" applyAlignment="1">
      <alignment horizontal="center"/>
    </xf>
    <xf numFmtId="0" fontId="1" fillId="10" borderId="16" xfId="1" applyFill="1" applyBorder="1" applyAlignment="1">
      <alignment horizontal="center"/>
    </xf>
    <xf numFmtId="0" fontId="1" fillId="10" borderId="3" xfId="1" applyFill="1" applyBorder="1"/>
    <xf numFmtId="0" fontId="1" fillId="10" borderId="24" xfId="1" applyFill="1" applyBorder="1" applyAlignment="1">
      <alignment horizontal="left"/>
    </xf>
    <xf numFmtId="2" fontId="1" fillId="10" borderId="0" xfId="1" applyNumberFormat="1" applyFill="1" applyAlignment="1">
      <alignment horizontal="center"/>
    </xf>
    <xf numFmtId="166" fontId="1" fillId="10" borderId="1" xfId="1" applyNumberFormat="1" applyFill="1" applyBorder="1" applyAlignment="1">
      <alignment horizontal="center"/>
    </xf>
    <xf numFmtId="0" fontId="1" fillId="10" borderId="18" xfId="1" applyFill="1" applyBorder="1"/>
    <xf numFmtId="0" fontId="0" fillId="0" borderId="0" xfId="0" applyAlignment="1">
      <alignment horizontal="left"/>
    </xf>
    <xf numFmtId="0" fontId="1" fillId="0" borderId="0" xfId="1" applyAlignment="1">
      <alignment horizontal="center"/>
    </xf>
    <xf numFmtId="0" fontId="1" fillId="0" borderId="2" xfId="1" applyFont="1" applyBorder="1" applyAlignment="1">
      <alignment horizontal="center"/>
    </xf>
    <xf numFmtId="0" fontId="1" fillId="0" borderId="7" xfId="1" applyBorder="1" applyAlignment="1">
      <alignment horizontal="center"/>
    </xf>
    <xf numFmtId="0" fontId="1" fillId="0" borderId="8" xfId="1" applyBorder="1" applyAlignment="1">
      <alignment horizontal="center"/>
    </xf>
    <xf numFmtId="14" fontId="1" fillId="0" borderId="2" xfId="1" applyNumberFormat="1" applyBorder="1" applyAlignment="1">
      <alignment horizontal="center"/>
    </xf>
    <xf numFmtId="0" fontId="1" fillId="0" borderId="2" xfId="1" applyBorder="1" applyAlignment="1">
      <alignment horizontal="center"/>
    </xf>
    <xf numFmtId="0" fontId="2" fillId="0" borderId="0" xfId="1" applyFont="1" applyAlignment="1">
      <alignment horizontal="right"/>
    </xf>
    <xf numFmtId="19" fontId="2" fillId="0" borderId="0" xfId="1" applyNumberFormat="1" applyFont="1" applyAlignment="1">
      <alignment horizontal="left"/>
    </xf>
    <xf numFmtId="0" fontId="2" fillId="0" borderId="0" xfId="1" applyFont="1" applyAlignment="1">
      <alignment horizontal="left"/>
    </xf>
    <xf numFmtId="0" fontId="0" fillId="0" borderId="0" xfId="0" applyAlignment="1">
      <alignment horizontal="left"/>
    </xf>
    <xf numFmtId="0" fontId="0" fillId="0" borderId="0" xfId="0"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16" fillId="5" borderId="29" xfId="0" applyFont="1" applyFill="1" applyBorder="1" applyAlignment="1">
      <alignment horizontal="center"/>
    </xf>
    <xf numFmtId="0" fontId="16" fillId="5" borderId="30" xfId="0" applyFont="1" applyFill="1" applyBorder="1" applyAlignment="1">
      <alignment horizontal="center"/>
    </xf>
    <xf numFmtId="0" fontId="16" fillId="5" borderId="31" xfId="0" applyFont="1" applyFill="1" applyBorder="1" applyAlignment="1">
      <alignment horizontal="center"/>
    </xf>
    <xf numFmtId="0" fontId="16" fillId="4" borderId="29" xfId="0" applyFont="1" applyFill="1" applyBorder="1" applyAlignment="1">
      <alignment horizontal="center"/>
    </xf>
    <xf numFmtId="0" fontId="16" fillId="4" borderId="30" xfId="0" applyFont="1" applyFill="1" applyBorder="1" applyAlignment="1">
      <alignment horizontal="center"/>
    </xf>
    <xf numFmtId="0" fontId="16" fillId="4" borderId="31" xfId="0" applyFont="1" applyFill="1" applyBorder="1" applyAlignment="1">
      <alignment horizontal="center"/>
    </xf>
    <xf numFmtId="0" fontId="0" fillId="0" borderId="0" xfId="0" pivotButton="1"/>
    <xf numFmtId="0" fontId="0" fillId="0" borderId="0" xfId="0" applyAlignment="1">
      <alignment horizontal="left" indent="1"/>
    </xf>
    <xf numFmtId="0" fontId="0" fillId="0" borderId="0" xfId="0" applyAlignment="1">
      <alignment horizontal="left" indent="2"/>
    </xf>
    <xf numFmtId="0" fontId="1" fillId="10" borderId="3" xfId="1" applyFill="1" applyBorder="1" applyAlignment="1"/>
    <xf numFmtId="0" fontId="1" fillId="0" borderId="14" xfId="1" applyBorder="1" applyAlignment="1"/>
    <xf numFmtId="0" fontId="1" fillId="0" borderId="16" xfId="1" applyBorder="1" applyAlignment="1"/>
    <xf numFmtId="0" fontId="22" fillId="10" borderId="8" xfId="1" applyFont="1" applyFill="1" applyBorder="1" applyAlignment="1">
      <alignment horizontal="center"/>
    </xf>
  </cellXfs>
  <cellStyles count="5">
    <cellStyle name="GreyOrWhite" xfId="3"/>
    <cellStyle name="Hyperlink" xfId="2" builtinId="8"/>
    <cellStyle name="Normal" xfId="0" builtinId="0"/>
    <cellStyle name="Normal 2" xfId="1"/>
    <cellStyle name="Yellow" xfId="4"/>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8</xdr:col>
      <xdr:colOff>314325</xdr:colOff>
      <xdr:row>2</xdr:row>
      <xdr:rowOff>104775</xdr:rowOff>
    </xdr:from>
    <xdr:to>
      <xdr:col>10</xdr:col>
      <xdr:colOff>257175</xdr:colOff>
      <xdr:row>4</xdr:row>
      <xdr:rowOff>76200</xdr:rowOff>
    </xdr:to>
    <xdr:pic>
      <xdr:nvPicPr>
        <xdr:cNvPr id="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5981700" y="466725"/>
          <a:ext cx="1162050" cy="295275"/>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11</xdr:row>
      <xdr:rowOff>104775</xdr:rowOff>
    </xdr:from>
    <xdr:to>
      <xdr:col>5</xdr:col>
      <xdr:colOff>409575</xdr:colOff>
      <xdr:row>11</xdr:row>
      <xdr:rowOff>107783</xdr:rowOff>
    </xdr:to>
    <xdr:sp macro="" textlink="">
      <xdr:nvSpPr>
        <xdr:cNvPr id="3"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9525</xdr:colOff>
      <xdr:row>14</xdr:row>
      <xdr:rowOff>104775</xdr:rowOff>
    </xdr:from>
    <xdr:to>
      <xdr:col>5</xdr:col>
      <xdr:colOff>409575</xdr:colOff>
      <xdr:row>14</xdr:row>
      <xdr:rowOff>107783</xdr:rowOff>
    </xdr:to>
    <xdr:sp macro="" textlink="">
      <xdr:nvSpPr>
        <xdr:cNvPr id="4"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3738.417252777777" createdVersion="3" refreshedVersion="3" minRefreshableVersion="3" recordCount="26">
  <cacheSource type="worksheet">
    <worksheetSource ref="A6:D32" sheet="Question 11"/>
  </cacheSource>
  <cacheFields count="4">
    <cacheField name="EMPLOYEE_CODE" numFmtId="0">
      <sharedItems containsSemiMixedTypes="0" containsString="0" containsNumber="1" containsInteger="1" minValue="561803" maxValue="728129" count="26">
        <n v="565770"/>
        <n v="589499"/>
        <n v="589502"/>
        <n v="589952"/>
        <n v="612379"/>
        <n v="617446"/>
        <n v="639866"/>
        <n v="644931"/>
        <n v="644932"/>
        <n v="644933"/>
        <n v="644934"/>
        <n v="644935"/>
        <n v="644936"/>
        <n v="644937"/>
        <n v="645124"/>
        <n v="645125"/>
        <n v="728129"/>
        <n v="728107"/>
        <n v="695935"/>
        <n v="685250"/>
        <n v="685246"/>
        <n v="645280"/>
        <n v="620404"/>
        <n v="565761"/>
        <n v="561808"/>
        <n v="561803"/>
      </sharedItems>
    </cacheField>
    <cacheField name="TITLE" numFmtId="0">
      <sharedItems count="3">
        <s v="MR        "/>
        <s v="MS        "/>
        <s v="NULL"/>
      </sharedItems>
    </cacheField>
    <cacheField name="EMPLOYEE_NAME" numFmtId="0">
      <sharedItems count="26">
        <s v="Shashank Shekhar Tiwari"/>
        <s v="Dilber Singh"/>
        <s v="Parveen Kumar"/>
        <s v="Sunil Dutt"/>
        <s v="Ashok Kumar"/>
        <s v="Uma Sundaram"/>
        <s v="Ravindra Pal Singh"/>
        <s v="Ashish Kumar Singh"/>
        <s v="Ankit Khanna"/>
        <s v="Siraj Ahmad"/>
        <s v="Dinesh Verma"/>
        <s v="Narendra Singh"/>
        <s v="Amiya Singh"/>
        <s v="Manish Sharma"/>
        <s v="Mohd Furqan"/>
        <s v="Bikash Chandra Sahu"/>
        <s v="Phani Jakka"/>
        <s v="Veerendra Rathore"/>
        <s v="Sushma Gopala"/>
        <s v="Chandra Sekhar"/>
        <s v="Deepayan Mondal"/>
        <s v="Aman Jain"/>
        <s v="Ramkrushna Barik"/>
        <s v="Sakhamuri Seenaiah"/>
        <s v="Abhay Kumar Jain"/>
        <s v="Krishna Kovelakar"/>
      </sharedItems>
    </cacheField>
    <cacheField name="DESIGNATION" numFmtId="0">
      <sharedItems count="5">
        <s v="Sr Coding Analyst"/>
        <s v="Coding Analyst"/>
        <s v="Claim Associate"/>
        <s v="Sr Claim Associate"/>
        <s v="Subject Matter Expert"/>
      </sharedItems>
    </cacheField>
  </cacheFields>
</pivotCacheDefinition>
</file>

<file path=xl/pivotCache/pivotCacheRecords1.xml><?xml version="1.0" encoding="utf-8"?>
<pivotCacheRecords xmlns="http://schemas.openxmlformats.org/spreadsheetml/2006/main" xmlns:r="http://schemas.openxmlformats.org/officeDocument/2006/relationships" count="26">
  <r>
    <x v="0"/>
    <x v="0"/>
    <x v="0"/>
    <x v="0"/>
  </r>
  <r>
    <x v="1"/>
    <x v="0"/>
    <x v="1"/>
    <x v="0"/>
  </r>
  <r>
    <x v="2"/>
    <x v="0"/>
    <x v="2"/>
    <x v="1"/>
  </r>
  <r>
    <x v="3"/>
    <x v="0"/>
    <x v="3"/>
    <x v="1"/>
  </r>
  <r>
    <x v="4"/>
    <x v="0"/>
    <x v="4"/>
    <x v="1"/>
  </r>
  <r>
    <x v="5"/>
    <x v="1"/>
    <x v="5"/>
    <x v="2"/>
  </r>
  <r>
    <x v="6"/>
    <x v="0"/>
    <x v="6"/>
    <x v="0"/>
  </r>
  <r>
    <x v="7"/>
    <x v="0"/>
    <x v="7"/>
    <x v="2"/>
  </r>
  <r>
    <x v="8"/>
    <x v="0"/>
    <x v="8"/>
    <x v="2"/>
  </r>
  <r>
    <x v="9"/>
    <x v="0"/>
    <x v="9"/>
    <x v="2"/>
  </r>
  <r>
    <x v="10"/>
    <x v="0"/>
    <x v="10"/>
    <x v="2"/>
  </r>
  <r>
    <x v="11"/>
    <x v="0"/>
    <x v="11"/>
    <x v="2"/>
  </r>
  <r>
    <x v="12"/>
    <x v="0"/>
    <x v="12"/>
    <x v="2"/>
  </r>
  <r>
    <x v="13"/>
    <x v="0"/>
    <x v="13"/>
    <x v="2"/>
  </r>
  <r>
    <x v="14"/>
    <x v="0"/>
    <x v="14"/>
    <x v="2"/>
  </r>
  <r>
    <x v="15"/>
    <x v="0"/>
    <x v="15"/>
    <x v="2"/>
  </r>
  <r>
    <x v="16"/>
    <x v="2"/>
    <x v="16"/>
    <x v="3"/>
  </r>
  <r>
    <x v="17"/>
    <x v="2"/>
    <x v="17"/>
    <x v="3"/>
  </r>
  <r>
    <x v="18"/>
    <x v="1"/>
    <x v="18"/>
    <x v="3"/>
  </r>
  <r>
    <x v="19"/>
    <x v="0"/>
    <x v="19"/>
    <x v="3"/>
  </r>
  <r>
    <x v="20"/>
    <x v="0"/>
    <x v="20"/>
    <x v="3"/>
  </r>
  <r>
    <x v="21"/>
    <x v="0"/>
    <x v="21"/>
    <x v="4"/>
  </r>
  <r>
    <x v="22"/>
    <x v="0"/>
    <x v="22"/>
    <x v="4"/>
  </r>
  <r>
    <x v="23"/>
    <x v="0"/>
    <x v="23"/>
    <x v="4"/>
  </r>
  <r>
    <x v="24"/>
    <x v="0"/>
    <x v="24"/>
    <x v="4"/>
  </r>
  <r>
    <x v="25"/>
    <x v="0"/>
    <x v="2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K7:AL66" firstHeaderRow="1" firstDataRow="2" firstDataCol="1"/>
  <pivotFields count="4">
    <pivotField axis="axisCol" showAll="0">
      <items count="27">
        <item x="25"/>
        <item x="24"/>
        <item x="23"/>
        <item x="0"/>
        <item x="1"/>
        <item x="2"/>
        <item x="3"/>
        <item x="4"/>
        <item x="5"/>
        <item x="22"/>
        <item x="6"/>
        <item x="7"/>
        <item x="8"/>
        <item x="9"/>
        <item x="10"/>
        <item x="11"/>
        <item x="12"/>
        <item x="13"/>
        <item x="14"/>
        <item x="15"/>
        <item x="21"/>
        <item x="20"/>
        <item x="19"/>
        <item x="18"/>
        <item x="17"/>
        <item x="16"/>
        <item t="default"/>
      </items>
    </pivotField>
    <pivotField axis="axisRow" showAll="0">
      <items count="4">
        <item x="0"/>
        <item x="1"/>
        <item x="2"/>
        <item t="default"/>
      </items>
    </pivotField>
    <pivotField axis="axisRow" showAll="0">
      <items count="27">
        <item x="24"/>
        <item x="21"/>
        <item x="12"/>
        <item x="8"/>
        <item x="7"/>
        <item x="4"/>
        <item x="15"/>
        <item x="19"/>
        <item x="20"/>
        <item x="1"/>
        <item x="10"/>
        <item x="25"/>
        <item x="13"/>
        <item x="14"/>
        <item x="11"/>
        <item x="2"/>
        <item x="16"/>
        <item x="22"/>
        <item x="6"/>
        <item x="23"/>
        <item x="0"/>
        <item x="9"/>
        <item x="3"/>
        <item x="18"/>
        <item x="5"/>
        <item x="17"/>
        <item t="default"/>
      </items>
    </pivotField>
    <pivotField axis="axisRow" showAll="0">
      <items count="6">
        <item x="2"/>
        <item x="1"/>
        <item x="3"/>
        <item x="0"/>
        <item x="4"/>
        <item t="default"/>
      </items>
    </pivotField>
  </pivotFields>
  <rowFields count="3">
    <field x="3"/>
    <field x="2"/>
    <field x="1"/>
  </rowFields>
  <rowItems count="58">
    <i>
      <x/>
    </i>
    <i r="1">
      <x v="2"/>
    </i>
    <i r="2">
      <x/>
    </i>
    <i r="1">
      <x v="3"/>
    </i>
    <i r="2">
      <x/>
    </i>
    <i r="1">
      <x v="4"/>
    </i>
    <i r="2">
      <x/>
    </i>
    <i r="1">
      <x v="6"/>
    </i>
    <i r="2">
      <x/>
    </i>
    <i r="1">
      <x v="10"/>
    </i>
    <i r="2">
      <x/>
    </i>
    <i r="1">
      <x v="12"/>
    </i>
    <i r="2">
      <x/>
    </i>
    <i r="1">
      <x v="13"/>
    </i>
    <i r="2">
      <x/>
    </i>
    <i r="1">
      <x v="14"/>
    </i>
    <i r="2">
      <x/>
    </i>
    <i r="1">
      <x v="21"/>
    </i>
    <i r="2">
      <x/>
    </i>
    <i r="1">
      <x v="24"/>
    </i>
    <i r="2">
      <x v="1"/>
    </i>
    <i>
      <x v="1"/>
    </i>
    <i r="1">
      <x v="5"/>
    </i>
    <i r="2">
      <x/>
    </i>
    <i r="1">
      <x v="15"/>
    </i>
    <i r="2">
      <x/>
    </i>
    <i r="1">
      <x v="22"/>
    </i>
    <i r="2">
      <x/>
    </i>
    <i>
      <x v="2"/>
    </i>
    <i r="1">
      <x v="7"/>
    </i>
    <i r="2">
      <x/>
    </i>
    <i r="1">
      <x v="8"/>
    </i>
    <i r="2">
      <x/>
    </i>
    <i r="1">
      <x v="16"/>
    </i>
    <i r="2">
      <x v="2"/>
    </i>
    <i r="1">
      <x v="23"/>
    </i>
    <i r="2">
      <x v="1"/>
    </i>
    <i r="1">
      <x v="25"/>
    </i>
    <i r="2">
      <x v="2"/>
    </i>
    <i>
      <x v="3"/>
    </i>
    <i r="1">
      <x v="9"/>
    </i>
    <i r="2">
      <x/>
    </i>
    <i r="1">
      <x v="18"/>
    </i>
    <i r="2">
      <x/>
    </i>
    <i r="1">
      <x v="20"/>
    </i>
    <i r="2">
      <x/>
    </i>
    <i>
      <x v="4"/>
    </i>
    <i r="1">
      <x/>
    </i>
    <i r="2">
      <x/>
    </i>
    <i r="1">
      <x v="1"/>
    </i>
    <i r="2">
      <x/>
    </i>
    <i r="1">
      <x v="11"/>
    </i>
    <i r="2">
      <x/>
    </i>
    <i r="1">
      <x v="17"/>
    </i>
    <i r="2">
      <x/>
    </i>
    <i r="1">
      <x v="19"/>
    </i>
    <i r="2">
      <x/>
    </i>
    <i t="grand">
      <x/>
    </i>
  </rowItems>
  <colFields count="1">
    <field x="0"/>
  </colFields>
  <colItems count="27">
    <i>
      <x/>
    </i>
    <i>
      <x v="1"/>
    </i>
    <i>
      <x v="2"/>
    </i>
    <i>
      <x v="3"/>
    </i>
    <i>
      <x v="4"/>
    </i>
    <i>
      <x v="5"/>
    </i>
    <i>
      <x v="6"/>
    </i>
    <i>
      <x v="7"/>
    </i>
    <i>
      <x v="8"/>
    </i>
    <i>
      <x v="9"/>
    </i>
    <i>
      <x v="10"/>
    </i>
    <i>
      <x v="11"/>
    </i>
    <i>
      <x v="12"/>
    </i>
    <i>
      <x v="13"/>
    </i>
    <i>
      <x v="14"/>
    </i>
    <i>
      <x v="15"/>
    </i>
    <i>
      <x v="16"/>
    </i>
    <i>
      <x v="17"/>
    </i>
    <i>
      <x v="18"/>
    </i>
    <i>
      <x v="19"/>
    </i>
    <i>
      <x v="20"/>
    </i>
    <i>
      <x v="21"/>
    </i>
    <i>
      <x v="22"/>
    </i>
    <i>
      <x v="23"/>
    </i>
    <i>
      <x v="24"/>
    </i>
    <i>
      <x v="25"/>
    </i>
    <i t="grand">
      <x/>
    </i>
  </colItem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hyperlink" Target="javascript:%20void%200;" TargetMode="External"/><Relationship Id="rId1" Type="http://schemas.openxmlformats.org/officeDocument/2006/relationships/hyperlink" Target="javascript:%20void%200;"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7"/>
  <dimension ref="B1:O32"/>
  <sheetViews>
    <sheetView showGridLines="0" showRowColHeaders="0" workbookViewId="0">
      <selection activeCell="C16" sqref="C16"/>
    </sheetView>
  </sheetViews>
  <sheetFormatPr defaultColWidth="9.140625" defaultRowHeight="12.75"/>
  <cols>
    <col min="1" max="1" width="9.140625" style="1"/>
    <col min="2" max="2" width="10.140625" style="1" bestFit="1" customWidth="1"/>
    <col min="3" max="5" width="9.140625" style="1"/>
    <col min="6" max="6" width="8.5703125" style="1" customWidth="1"/>
    <col min="7" max="12" width="9.140625" style="1"/>
    <col min="13" max="13" width="11.42578125" style="1" customWidth="1"/>
    <col min="14" max="14" width="10.5703125" style="1" customWidth="1"/>
    <col min="15" max="15" width="9.42578125" style="1" customWidth="1"/>
    <col min="16" max="16384" width="9.140625" style="1"/>
  </cols>
  <sheetData>
    <row r="1" spans="2:15">
      <c r="H1" s="136" t="s">
        <v>169</v>
      </c>
      <c r="I1" s="136"/>
      <c r="J1" s="136"/>
      <c r="K1" s="137"/>
      <c r="L1" s="138"/>
      <c r="M1" s="138"/>
    </row>
    <row r="2" spans="2:15">
      <c r="H2" s="136" t="s">
        <v>170</v>
      </c>
      <c r="I2" s="136"/>
      <c r="J2" s="136"/>
      <c r="K2" s="137"/>
      <c r="L2" s="138"/>
      <c r="M2" s="138"/>
    </row>
    <row r="3" spans="2:15">
      <c r="H3" s="136"/>
      <c r="I3" s="136"/>
      <c r="J3" s="136"/>
      <c r="K3" s="137"/>
      <c r="L3" s="138"/>
      <c r="M3" s="138"/>
    </row>
    <row r="4" spans="2:15" ht="13.5" thickBot="1">
      <c r="D4" s="130" t="s">
        <v>168</v>
      </c>
      <c r="E4" s="130"/>
      <c r="F4" s="130"/>
      <c r="M4" s="1" t="s">
        <v>0</v>
      </c>
    </row>
    <row r="5" spans="2:15" ht="13.5" thickBot="1">
      <c r="B5" s="1" t="s">
        <v>1</v>
      </c>
      <c r="M5" s="2" t="s">
        <v>2</v>
      </c>
      <c r="N5" s="3" t="s">
        <v>3</v>
      </c>
      <c r="O5" s="4" t="s">
        <v>4</v>
      </c>
    </row>
    <row r="6" spans="2:15">
      <c r="B6" s="1" t="s">
        <v>5</v>
      </c>
      <c r="M6" s="5">
        <v>1</v>
      </c>
      <c r="N6" s="6">
        <v>2</v>
      </c>
      <c r="O6" s="7"/>
    </row>
    <row r="7" spans="2:15">
      <c r="B7" s="1" t="s">
        <v>6</v>
      </c>
      <c r="M7" s="8">
        <v>2</v>
      </c>
      <c r="N7" s="9">
        <v>2</v>
      </c>
      <c r="O7" s="10"/>
    </row>
    <row r="8" spans="2:15">
      <c r="B8" s="1" t="s">
        <v>7</v>
      </c>
      <c r="M8" s="8">
        <v>3</v>
      </c>
      <c r="N8" s="9">
        <v>4</v>
      </c>
      <c r="O8" s="10"/>
    </row>
    <row r="9" spans="2:15">
      <c r="B9" s="1" t="s">
        <v>8</v>
      </c>
      <c r="M9" s="8">
        <v>4</v>
      </c>
      <c r="N9" s="9">
        <v>2</v>
      </c>
      <c r="O9" s="10"/>
    </row>
    <row r="10" spans="2:15">
      <c r="M10" s="8">
        <v>5</v>
      </c>
      <c r="N10" s="9">
        <v>2</v>
      </c>
      <c r="O10" s="10"/>
    </row>
    <row r="11" spans="2:15">
      <c r="M11" s="8">
        <v>6</v>
      </c>
      <c r="N11" s="9">
        <v>3</v>
      </c>
      <c r="O11" s="10"/>
    </row>
    <row r="12" spans="2:15" ht="13.5" thickBot="1">
      <c r="M12" s="8">
        <v>7</v>
      </c>
      <c r="N12" s="9">
        <v>4</v>
      </c>
      <c r="O12" s="10"/>
    </row>
    <row r="13" spans="2:15" ht="13.5" thickBot="1">
      <c r="B13" s="11" t="s">
        <v>9</v>
      </c>
      <c r="C13" s="131" t="s">
        <v>224</v>
      </c>
      <c r="D13" s="132"/>
      <c r="E13" s="133"/>
      <c r="M13" s="8">
        <v>8</v>
      </c>
      <c r="N13" s="9">
        <v>3</v>
      </c>
      <c r="O13" s="10"/>
    </row>
    <row r="14" spans="2:15" ht="13.5" thickBot="1">
      <c r="B14" s="11" t="s">
        <v>10</v>
      </c>
      <c r="C14" s="134"/>
      <c r="D14" s="132"/>
      <c r="E14" s="133"/>
      <c r="M14" s="8">
        <v>9</v>
      </c>
      <c r="N14" s="9">
        <v>2</v>
      </c>
      <c r="O14" s="10"/>
    </row>
    <row r="15" spans="2:15" ht="13.5" thickBot="1">
      <c r="B15" s="11" t="s">
        <v>11</v>
      </c>
      <c r="C15" s="135">
        <v>7060377008</v>
      </c>
      <c r="D15" s="132"/>
      <c r="E15" s="133"/>
      <c r="M15" s="8">
        <v>10</v>
      </c>
      <c r="N15" s="9">
        <v>3</v>
      </c>
      <c r="O15" s="10"/>
    </row>
    <row r="16" spans="2:15">
      <c r="M16" s="8">
        <v>11</v>
      </c>
      <c r="N16" s="9">
        <v>5</v>
      </c>
      <c r="O16" s="10"/>
    </row>
    <row r="17" spans="2:15">
      <c r="M17" s="8">
        <v>12</v>
      </c>
      <c r="N17" s="9">
        <v>5</v>
      </c>
      <c r="O17" s="10"/>
    </row>
    <row r="18" spans="2:15">
      <c r="B18" s="12" t="s">
        <v>12</v>
      </c>
      <c r="M18" s="8">
        <v>13</v>
      </c>
      <c r="N18" s="9">
        <v>4</v>
      </c>
      <c r="O18" s="10"/>
    </row>
    <row r="19" spans="2:15">
      <c r="C19" s="13">
        <v>1</v>
      </c>
      <c r="D19" s="1" t="s">
        <v>222</v>
      </c>
      <c r="M19" s="8">
        <v>14</v>
      </c>
      <c r="N19" s="9">
        <v>5</v>
      </c>
      <c r="O19" s="10"/>
    </row>
    <row r="20" spans="2:15" ht="13.5" thickBot="1">
      <c r="C20" s="13">
        <v>2</v>
      </c>
      <c r="D20" s="1" t="s">
        <v>13</v>
      </c>
      <c r="M20" s="14">
        <v>15</v>
      </c>
      <c r="N20" s="15">
        <v>4</v>
      </c>
      <c r="O20" s="16"/>
    </row>
    <row r="21" spans="2:15" ht="13.5" thickBot="1">
      <c r="C21" s="13">
        <v>3</v>
      </c>
      <c r="D21" s="1" t="s">
        <v>14</v>
      </c>
      <c r="M21" s="99">
        <v>16</v>
      </c>
      <c r="N21" s="100">
        <v>1</v>
      </c>
      <c r="O21" s="101"/>
    </row>
    <row r="22" spans="2:15" ht="13.5" thickBot="1">
      <c r="C22" s="13">
        <v>4</v>
      </c>
      <c r="D22" s="1" t="s">
        <v>16</v>
      </c>
      <c r="M22" s="99">
        <v>17</v>
      </c>
      <c r="N22" s="100">
        <v>1</v>
      </c>
      <c r="O22" s="101"/>
    </row>
    <row r="23" spans="2:15" ht="13.5" thickBot="1">
      <c r="C23" s="13">
        <v>5</v>
      </c>
      <c r="D23" s="1" t="s">
        <v>17</v>
      </c>
      <c r="M23" s="99">
        <v>18</v>
      </c>
      <c r="N23" s="100">
        <v>1</v>
      </c>
      <c r="O23" s="101"/>
    </row>
    <row r="24" spans="2:15" ht="13.5" thickBot="1">
      <c r="C24" s="13"/>
      <c r="M24" s="99">
        <v>19</v>
      </c>
      <c r="N24" s="100">
        <v>1</v>
      </c>
      <c r="O24" s="101"/>
    </row>
    <row r="25" spans="2:15" ht="13.5" thickBot="1">
      <c r="C25" s="13"/>
      <c r="M25" s="99">
        <v>20</v>
      </c>
      <c r="N25" s="100">
        <v>1</v>
      </c>
      <c r="O25" s="101"/>
    </row>
    <row r="26" spans="2:15" ht="13.5" thickBot="1">
      <c r="M26" s="99">
        <v>21</v>
      </c>
      <c r="N26" s="100">
        <v>1</v>
      </c>
      <c r="O26" s="101"/>
    </row>
    <row r="27" spans="2:15" ht="13.5" thickBot="1">
      <c r="M27" s="99">
        <v>22</v>
      </c>
      <c r="N27" s="100">
        <v>5</v>
      </c>
      <c r="O27" s="101"/>
    </row>
    <row r="28" spans="2:15" ht="13.5" thickBot="1">
      <c r="M28" s="99">
        <v>23</v>
      </c>
      <c r="N28" s="100">
        <v>2</v>
      </c>
      <c r="O28" s="101"/>
    </row>
    <row r="29" spans="2:15" ht="13.5" thickBot="1">
      <c r="M29" s="99">
        <v>24</v>
      </c>
      <c r="N29" s="100">
        <v>2</v>
      </c>
      <c r="O29" s="101"/>
    </row>
    <row r="30" spans="2:15" ht="13.5" thickBot="1">
      <c r="M30" s="11" t="s">
        <v>15</v>
      </c>
      <c r="N30" s="2">
        <f>SUM(N6:N29)</f>
        <v>65</v>
      </c>
      <c r="O30" s="2"/>
    </row>
    <row r="32" spans="2:15">
      <c r="H32" s="18"/>
    </row>
  </sheetData>
  <sheetProtection formatCells="0" formatColumns="0" formatRows="0" sort="0" autoFilter="0" pivotTables="0"/>
  <mergeCells count="10">
    <mergeCell ref="K1:M1"/>
    <mergeCell ref="H2:J2"/>
    <mergeCell ref="K2:M2"/>
    <mergeCell ref="H3:J3"/>
    <mergeCell ref="K3:M3"/>
    <mergeCell ref="D4:F4"/>
    <mergeCell ref="C13:E13"/>
    <mergeCell ref="C14:E14"/>
    <mergeCell ref="C15:E15"/>
    <mergeCell ref="H1:J1"/>
  </mergeCells>
  <hyperlinks>
    <hyperlink ref="M6" location="'Question 1'!A1" display="'Question 1'!A1"/>
    <hyperlink ref="M7" location="'Question 2'!A1" display="'Question 2'!A1"/>
    <hyperlink ref="M8" location="'Question 3'!A1" display="'Question 3'!A1"/>
    <hyperlink ref="M9" location="'Question 4'!A1" display="'Question 4'!A1"/>
    <hyperlink ref="M10" location="'Question 5'!A1" display="'Question 5'!A1"/>
    <hyperlink ref="M11" location="'Question 6'!A1" display="'Question 6'!A1"/>
    <hyperlink ref="M12" location="'Question 7'!A1" display="'Question 7'!A1"/>
    <hyperlink ref="M13" location="'Question 8'!A1" display="'Question 8'!A1"/>
    <hyperlink ref="M14" location="'Question 9'!A1" display="'Question 9'!A1"/>
    <hyperlink ref="M15" location="'Question 10'!A1" display="'Question 10'!A1"/>
    <hyperlink ref="M16" location="'Question 11'!A1" display="'Question 11'!A1"/>
    <hyperlink ref="M17" location="'Question 12'!A1" display="'Question 12'!A1"/>
    <hyperlink ref="M18" location="'Question 13'!A1" display="'Question 13'!A1"/>
    <hyperlink ref="M19" location="'Question 14'!A1" display="'Question 14'!A1"/>
    <hyperlink ref="M20" location="'Question 15'!A1" display="'Question 15'!A1"/>
    <hyperlink ref="M21" location="'Question 16'!A1" display="'Question 16'!A1"/>
    <hyperlink ref="M22" location="'Question 17'!A1" display="'Question 17'!A1"/>
    <hyperlink ref="M23" location="'Question 18'!A1" display="'Question 18'!A1"/>
    <hyperlink ref="M24" location="'Question 19'!A1" display="'Question 19'!A1"/>
    <hyperlink ref="M25" location="'Question 20'!A1" display="'Question 20'!A1"/>
  </hyperlinks>
  <pageMargins left="0.75" right="0.75" top="1" bottom="1" header="0.5" footer="0.5"/>
  <pageSetup orientation="portrait" r:id="rId1"/>
  <headerFooter alignWithMargins="0"/>
  <legacyDrawing r:id="rId2"/>
  <controls>
    <control shapeId="1025" r:id="rId3" name="CommandButton1"/>
    <control shapeId="1026" r:id="rId4" name="CommandButton2"/>
  </controls>
</worksheet>
</file>

<file path=xl/worksheets/sheet2.xml><?xml version="1.0" encoding="utf-8"?>
<worksheet xmlns="http://schemas.openxmlformats.org/spreadsheetml/2006/main" xmlns:r="http://schemas.openxmlformats.org/officeDocument/2006/relationships">
  <sheetPr codeName="Sheet4"/>
  <dimension ref="A1:F22"/>
  <sheetViews>
    <sheetView showGridLines="0" workbookViewId="0">
      <selection activeCell="D25" sqref="D25"/>
    </sheetView>
  </sheetViews>
  <sheetFormatPr defaultColWidth="9.140625" defaultRowHeight="12.75"/>
  <cols>
    <col min="1" max="1" width="7.7109375" style="1" bestFit="1" customWidth="1"/>
    <col min="2" max="2" width="13.85546875" style="1" bestFit="1" customWidth="1"/>
    <col min="3" max="3" width="17.7109375" style="1" bestFit="1" customWidth="1"/>
    <col min="4" max="4" width="17.42578125" style="1" bestFit="1" customWidth="1"/>
    <col min="5" max="5" width="23" style="1" bestFit="1" customWidth="1"/>
    <col min="6" max="6" width="21.5703125" style="1" bestFit="1" customWidth="1"/>
    <col min="7" max="16384" width="9.140625" style="1"/>
  </cols>
  <sheetData>
    <row r="1" spans="1:6" ht="15.75">
      <c r="A1" s="19" t="s">
        <v>18</v>
      </c>
      <c r="B1" s="20" t="s">
        <v>19</v>
      </c>
      <c r="C1" s="20"/>
    </row>
    <row r="3" spans="1:6">
      <c r="A3" s="12" t="s">
        <v>20</v>
      </c>
    </row>
    <row r="4" spans="1:6" ht="13.5" thickBot="1"/>
    <row r="5" spans="1:6" ht="13.5" thickBot="1">
      <c r="D5" s="21" t="s">
        <v>21</v>
      </c>
      <c r="E5" s="22" t="s">
        <v>22</v>
      </c>
      <c r="F5" s="23" t="s">
        <v>23</v>
      </c>
    </row>
    <row r="6" spans="1:6">
      <c r="D6" s="24">
        <v>559963</v>
      </c>
      <c r="E6" s="25" t="s">
        <v>42</v>
      </c>
      <c r="F6" s="26" t="s">
        <v>40</v>
      </c>
    </row>
    <row r="7" spans="1:6">
      <c r="D7" s="27">
        <v>561787</v>
      </c>
      <c r="E7" s="28" t="s">
        <v>41</v>
      </c>
      <c r="F7" s="29" t="s">
        <v>40</v>
      </c>
    </row>
    <row r="8" spans="1:6">
      <c r="D8" s="27">
        <v>589499</v>
      </c>
      <c r="E8" s="28" t="s">
        <v>39</v>
      </c>
      <c r="F8" s="29" t="s">
        <v>40</v>
      </c>
    </row>
    <row r="9" spans="1:6">
      <c r="D9" s="27">
        <v>615474</v>
      </c>
      <c r="E9" s="28" t="s">
        <v>37</v>
      </c>
      <c r="F9" s="29" t="s">
        <v>38</v>
      </c>
    </row>
    <row r="10" spans="1:6">
      <c r="D10" s="27">
        <v>628598</v>
      </c>
      <c r="E10" s="28" t="s">
        <v>35</v>
      </c>
      <c r="F10" s="29" t="s">
        <v>36</v>
      </c>
    </row>
    <row r="11" spans="1:6">
      <c r="D11" s="27">
        <v>675499</v>
      </c>
      <c r="E11" s="28" t="s">
        <v>33</v>
      </c>
      <c r="F11" s="29" t="s">
        <v>34</v>
      </c>
    </row>
    <row r="12" spans="1:6">
      <c r="D12" s="27">
        <v>690856</v>
      </c>
      <c r="E12" s="28" t="s">
        <v>32</v>
      </c>
      <c r="F12" s="29" t="s">
        <v>25</v>
      </c>
    </row>
    <row r="13" spans="1:6">
      <c r="D13" s="27">
        <v>691752</v>
      </c>
      <c r="E13" s="28" t="s">
        <v>31</v>
      </c>
      <c r="F13" s="29" t="s">
        <v>25</v>
      </c>
    </row>
    <row r="14" spans="1:6">
      <c r="D14" s="27">
        <v>694104</v>
      </c>
      <c r="E14" s="28" t="s">
        <v>30</v>
      </c>
      <c r="F14" s="29" t="s">
        <v>25</v>
      </c>
    </row>
    <row r="15" spans="1:6">
      <c r="D15" s="27">
        <v>694402</v>
      </c>
      <c r="E15" s="28" t="s">
        <v>29</v>
      </c>
      <c r="F15" s="29" t="s">
        <v>25</v>
      </c>
    </row>
    <row r="16" spans="1:6">
      <c r="D16" s="27">
        <v>695548</v>
      </c>
      <c r="E16" s="28" t="s">
        <v>28</v>
      </c>
      <c r="F16" s="29" t="s">
        <v>25</v>
      </c>
    </row>
    <row r="17" spans="4:6">
      <c r="D17" s="27">
        <v>724629</v>
      </c>
      <c r="E17" s="28" t="s">
        <v>27</v>
      </c>
      <c r="F17" s="29" t="s">
        <v>25</v>
      </c>
    </row>
    <row r="18" spans="4:6">
      <c r="D18" s="27">
        <v>725001</v>
      </c>
      <c r="E18" s="28" t="s">
        <v>26</v>
      </c>
      <c r="F18" s="29" t="s">
        <v>25</v>
      </c>
    </row>
    <row r="19" spans="4:6" ht="13.5" thickBot="1">
      <c r="D19" s="30">
        <v>726985</v>
      </c>
      <c r="E19" s="31" t="s">
        <v>24</v>
      </c>
      <c r="F19" s="32" t="s">
        <v>25</v>
      </c>
    </row>
    <row r="21" spans="4:6" ht="13.5" thickBot="1"/>
    <row r="22" spans="4:6" ht="13.5" thickBot="1">
      <c r="D22" s="21" t="s">
        <v>21</v>
      </c>
      <c r="E22" s="22" t="s">
        <v>22</v>
      </c>
      <c r="F22" s="23" t="s">
        <v>23</v>
      </c>
    </row>
  </sheetData>
  <sortState ref="D6:F19">
    <sortCondition ref="D6"/>
  </sortState>
  <dataValidations count="1">
    <dataValidation type="list" allowBlank="1" showInputMessage="1" showErrorMessage="1" sqref="E25">
      <formula1>$H$19</formula1>
    </dataValidation>
  </dataValidations>
  <hyperlinks>
    <hyperlink ref="B1" location="'Question 2'!A1" display="Next Question"/>
    <hyperlink ref="A1" location="'Question Paper for Excel'!A1" display="Home"/>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sheetPr codeName="Sheet5"/>
  <dimension ref="A1:G15"/>
  <sheetViews>
    <sheetView showGridLines="0" workbookViewId="0">
      <selection activeCell="G10" sqref="G10"/>
    </sheetView>
  </sheetViews>
  <sheetFormatPr defaultColWidth="9.140625" defaultRowHeight="12.75"/>
  <cols>
    <col min="1" max="1" width="9.5703125" style="1" bestFit="1" customWidth="1"/>
    <col min="2" max="2" width="13.85546875" style="1" bestFit="1" customWidth="1"/>
    <col min="3" max="3" width="17.7109375" style="1" bestFit="1" customWidth="1"/>
    <col min="4" max="4" width="17.42578125" style="1" bestFit="1" customWidth="1"/>
    <col min="5" max="5" width="23" style="1" bestFit="1" customWidth="1"/>
    <col min="6" max="6" width="18" style="1" customWidth="1"/>
    <col min="7" max="7" width="21.42578125" style="1" bestFit="1" customWidth="1"/>
    <col min="8" max="8" width="18" style="1" bestFit="1" customWidth="1"/>
    <col min="9" max="16384" width="9.140625" style="1"/>
  </cols>
  <sheetData>
    <row r="1" spans="1:7" ht="15.75">
      <c r="A1" s="19" t="s">
        <v>18</v>
      </c>
      <c r="B1" s="20" t="s">
        <v>19</v>
      </c>
      <c r="C1" s="20" t="s">
        <v>43</v>
      </c>
    </row>
    <row r="4" spans="1:7">
      <c r="A4" s="12" t="s">
        <v>44</v>
      </c>
      <c r="B4" s="12" t="s">
        <v>45</v>
      </c>
      <c r="G4" s="12"/>
    </row>
    <row r="5" spans="1:7">
      <c r="B5" s="12" t="s">
        <v>183</v>
      </c>
    </row>
    <row r="8" spans="1:7">
      <c r="D8" s="33" t="s">
        <v>21</v>
      </c>
      <c r="E8" s="33" t="s">
        <v>22</v>
      </c>
      <c r="F8" s="33" t="s">
        <v>23</v>
      </c>
      <c r="G8" s="119" t="s">
        <v>223</v>
      </c>
    </row>
    <row r="9" spans="1:7">
      <c r="D9" s="34">
        <v>731501</v>
      </c>
      <c r="E9" s="13" t="s">
        <v>30</v>
      </c>
      <c r="F9" s="13" t="s">
        <v>40</v>
      </c>
      <c r="G9" s="120" t="str">
        <f>"000"&amp;D9</f>
        <v>000731501</v>
      </c>
    </row>
    <row r="10" spans="1:7">
      <c r="D10" s="34">
        <v>731371</v>
      </c>
      <c r="E10" s="13" t="s">
        <v>28</v>
      </c>
      <c r="F10" s="13" t="s">
        <v>40</v>
      </c>
      <c r="G10" s="120"/>
    </row>
    <row r="11" spans="1:7">
      <c r="D11" s="34">
        <v>731153</v>
      </c>
      <c r="E11" s="13" t="s">
        <v>32</v>
      </c>
      <c r="F11" s="13" t="s">
        <v>38</v>
      </c>
      <c r="G11" s="120"/>
    </row>
    <row r="12" spans="1:7">
      <c r="D12" s="34">
        <v>731021</v>
      </c>
      <c r="E12" s="13" t="s">
        <v>31</v>
      </c>
      <c r="F12" s="13" t="s">
        <v>34</v>
      </c>
      <c r="G12" s="120"/>
    </row>
    <row r="13" spans="1:7">
      <c r="D13" s="34">
        <v>730528</v>
      </c>
      <c r="E13" s="13" t="s">
        <v>39</v>
      </c>
      <c r="F13" s="13" t="s">
        <v>25</v>
      </c>
      <c r="G13" s="120"/>
    </row>
    <row r="14" spans="1:7">
      <c r="D14" s="34">
        <v>730457</v>
      </c>
      <c r="E14" s="13" t="s">
        <v>37</v>
      </c>
      <c r="F14" s="13" t="s">
        <v>25</v>
      </c>
      <c r="G14" s="120"/>
    </row>
    <row r="15" spans="1:7">
      <c r="D15" s="34">
        <v>725001</v>
      </c>
      <c r="E15" s="13" t="s">
        <v>33</v>
      </c>
      <c r="F15" s="13" t="s">
        <v>25</v>
      </c>
      <c r="G15" s="120"/>
    </row>
  </sheetData>
  <hyperlinks>
    <hyperlink ref="B1" location="'Question 3'!A1" display="Next Question"/>
    <hyperlink ref="C1" location="'Question 1'!A1" display="Previous Question"/>
    <hyperlink ref="A1" location="'Question Paper for Excel'!A1" display="Home"/>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sheetPr codeName="Sheet6" filterMode="1"/>
  <dimension ref="A1:H32"/>
  <sheetViews>
    <sheetView showGridLines="0" workbookViewId="0">
      <selection activeCell="H42" sqref="H42"/>
    </sheetView>
  </sheetViews>
  <sheetFormatPr defaultColWidth="9.140625" defaultRowHeight="12.75"/>
  <cols>
    <col min="1" max="1" width="9" style="1" bestFit="1" customWidth="1"/>
    <col min="2" max="2" width="13.85546875" style="1" bestFit="1" customWidth="1"/>
    <col min="3" max="3" width="17.7109375" style="1" bestFit="1" customWidth="1"/>
    <col min="4" max="4" width="9.140625" style="1"/>
    <col min="5" max="5" width="17.42578125" style="1" bestFit="1" customWidth="1"/>
    <col min="6" max="6" width="8.42578125" style="1" customWidth="1"/>
    <col min="7" max="7" width="28.28515625" style="1" bestFit="1" customWidth="1"/>
    <col min="8" max="8" width="25.5703125" style="1" bestFit="1" customWidth="1"/>
    <col min="9" max="16384" width="9.140625" style="1"/>
  </cols>
  <sheetData>
    <row r="1" spans="1:8" ht="15.75">
      <c r="A1" s="19" t="s">
        <v>18</v>
      </c>
      <c r="B1" s="20" t="s">
        <v>19</v>
      </c>
      <c r="C1" s="20" t="s">
        <v>43</v>
      </c>
    </row>
    <row r="3" spans="1:8">
      <c r="A3" s="12" t="s">
        <v>44</v>
      </c>
      <c r="B3" s="12" t="s">
        <v>46</v>
      </c>
    </row>
    <row r="4" spans="1:8">
      <c r="A4" s="12"/>
      <c r="B4" s="12"/>
    </row>
    <row r="5" spans="1:8">
      <c r="A5" s="12"/>
      <c r="B5" s="12"/>
    </row>
    <row r="6" spans="1:8">
      <c r="E6" s="33" t="s">
        <v>21</v>
      </c>
      <c r="F6" s="33" t="s">
        <v>47</v>
      </c>
      <c r="G6" s="33" t="s">
        <v>22</v>
      </c>
      <c r="H6" s="33" t="s">
        <v>23</v>
      </c>
    </row>
    <row r="7" spans="1:8">
      <c r="E7" s="13">
        <v>565770</v>
      </c>
      <c r="F7" s="13" t="s">
        <v>48</v>
      </c>
      <c r="G7" s="13" t="s">
        <v>49</v>
      </c>
      <c r="H7" s="13" t="s">
        <v>50</v>
      </c>
    </row>
    <row r="8" spans="1:8">
      <c r="E8" s="13">
        <v>589499</v>
      </c>
      <c r="F8" s="13" t="s">
        <v>48</v>
      </c>
      <c r="G8" s="13" t="s">
        <v>51</v>
      </c>
      <c r="H8" s="13" t="s">
        <v>50</v>
      </c>
    </row>
    <row r="9" spans="1:8" hidden="1">
      <c r="E9" s="13">
        <v>589502</v>
      </c>
      <c r="F9" s="13" t="s">
        <v>48</v>
      </c>
      <c r="G9" s="13" t="s">
        <v>52</v>
      </c>
      <c r="H9" s="13" t="s">
        <v>34</v>
      </c>
    </row>
    <row r="10" spans="1:8" hidden="1">
      <c r="E10" s="13">
        <v>589952</v>
      </c>
      <c r="F10" s="13" t="s">
        <v>48</v>
      </c>
      <c r="G10" s="13" t="s">
        <v>53</v>
      </c>
      <c r="H10" s="13" t="s">
        <v>34</v>
      </c>
    </row>
    <row r="11" spans="1:8" hidden="1">
      <c r="E11" s="13">
        <v>612379</v>
      </c>
      <c r="F11" s="13" t="s">
        <v>48</v>
      </c>
      <c r="G11" s="13" t="s">
        <v>54</v>
      </c>
      <c r="H11" s="13" t="s">
        <v>34</v>
      </c>
    </row>
    <row r="12" spans="1:8" hidden="1">
      <c r="E12" s="13">
        <v>617446</v>
      </c>
      <c r="F12" s="13" t="s">
        <v>55</v>
      </c>
      <c r="G12" s="13" t="s">
        <v>56</v>
      </c>
      <c r="H12" s="13" t="s">
        <v>25</v>
      </c>
    </row>
    <row r="13" spans="1:8">
      <c r="E13" s="13">
        <v>639866</v>
      </c>
      <c r="F13" s="13" t="s">
        <v>48</v>
      </c>
      <c r="G13" s="13" t="s">
        <v>57</v>
      </c>
      <c r="H13" s="13" t="s">
        <v>50</v>
      </c>
    </row>
    <row r="14" spans="1:8" hidden="1">
      <c r="E14" s="13">
        <v>644931</v>
      </c>
      <c r="F14" s="13" t="s">
        <v>48</v>
      </c>
      <c r="G14" s="13" t="s">
        <v>58</v>
      </c>
      <c r="H14" s="13" t="s">
        <v>25</v>
      </c>
    </row>
    <row r="15" spans="1:8" hidden="1">
      <c r="E15" s="13">
        <v>644932</v>
      </c>
      <c r="F15" s="13" t="s">
        <v>48</v>
      </c>
      <c r="G15" s="13" t="s">
        <v>59</v>
      </c>
      <c r="H15" s="13" t="s">
        <v>25</v>
      </c>
    </row>
    <row r="16" spans="1:8" hidden="1">
      <c r="E16" s="13">
        <v>644933</v>
      </c>
      <c r="F16" s="13" t="s">
        <v>48</v>
      </c>
      <c r="G16" s="13" t="s">
        <v>60</v>
      </c>
      <c r="H16" s="13" t="s">
        <v>25</v>
      </c>
    </row>
    <row r="17" spans="5:8" hidden="1">
      <c r="E17" s="13">
        <v>644934</v>
      </c>
      <c r="F17" s="13" t="s">
        <v>48</v>
      </c>
      <c r="G17" s="13" t="s">
        <v>61</v>
      </c>
      <c r="H17" s="13" t="s">
        <v>25</v>
      </c>
    </row>
    <row r="18" spans="5:8" hidden="1">
      <c r="E18" s="13">
        <v>644935</v>
      </c>
      <c r="F18" s="13" t="s">
        <v>48</v>
      </c>
      <c r="G18" s="13" t="s">
        <v>62</v>
      </c>
      <c r="H18" s="13" t="s">
        <v>25</v>
      </c>
    </row>
    <row r="19" spans="5:8" hidden="1">
      <c r="E19" s="13">
        <v>644936</v>
      </c>
      <c r="F19" s="13" t="s">
        <v>48</v>
      </c>
      <c r="G19" s="13" t="s">
        <v>63</v>
      </c>
      <c r="H19" s="13" t="s">
        <v>25</v>
      </c>
    </row>
    <row r="20" spans="5:8" hidden="1">
      <c r="E20" s="13">
        <v>644937</v>
      </c>
      <c r="F20" s="13" t="s">
        <v>48</v>
      </c>
      <c r="G20" s="13" t="s">
        <v>64</v>
      </c>
      <c r="H20" s="13" t="s">
        <v>25</v>
      </c>
    </row>
    <row r="21" spans="5:8" hidden="1">
      <c r="E21" s="13">
        <v>645124</v>
      </c>
      <c r="F21" s="13" t="s">
        <v>48</v>
      </c>
      <c r="G21" s="13" t="s">
        <v>65</v>
      </c>
      <c r="H21" s="13" t="s">
        <v>25</v>
      </c>
    </row>
    <row r="22" spans="5:8" hidden="1">
      <c r="E22" s="13">
        <v>645125</v>
      </c>
      <c r="F22" s="13" t="s">
        <v>48</v>
      </c>
      <c r="G22" s="13" t="s">
        <v>66</v>
      </c>
      <c r="H22" s="13" t="s">
        <v>25</v>
      </c>
    </row>
    <row r="23" spans="5:8">
      <c r="E23" s="13">
        <v>728129</v>
      </c>
      <c r="F23" s="13" t="s">
        <v>67</v>
      </c>
      <c r="G23" s="13" t="s">
        <v>68</v>
      </c>
      <c r="H23" s="13" t="s">
        <v>40</v>
      </c>
    </row>
    <row r="24" spans="5:8">
      <c r="E24" s="13">
        <v>728107</v>
      </c>
      <c r="F24" s="13" t="s">
        <v>67</v>
      </c>
      <c r="G24" s="13" t="s">
        <v>69</v>
      </c>
      <c r="H24" s="13" t="s">
        <v>40</v>
      </c>
    </row>
    <row r="25" spans="5:8">
      <c r="E25" s="13">
        <v>695935</v>
      </c>
      <c r="F25" s="13" t="s">
        <v>55</v>
      </c>
      <c r="G25" s="13" t="s">
        <v>70</v>
      </c>
      <c r="H25" s="13" t="s">
        <v>40</v>
      </c>
    </row>
    <row r="26" spans="5:8">
      <c r="E26" s="13">
        <v>685250</v>
      </c>
      <c r="F26" s="13" t="s">
        <v>48</v>
      </c>
      <c r="G26" s="13" t="s">
        <v>71</v>
      </c>
      <c r="H26" s="13" t="s">
        <v>40</v>
      </c>
    </row>
    <row r="27" spans="5:8">
      <c r="E27" s="13">
        <v>685246</v>
      </c>
      <c r="F27" s="13" t="s">
        <v>48</v>
      </c>
      <c r="G27" s="13" t="s">
        <v>72</v>
      </c>
      <c r="H27" s="13" t="s">
        <v>40</v>
      </c>
    </row>
    <row r="28" spans="5:8" hidden="1">
      <c r="E28" s="13">
        <v>645280</v>
      </c>
      <c r="F28" s="13" t="s">
        <v>48</v>
      </c>
      <c r="G28" s="13" t="s">
        <v>73</v>
      </c>
      <c r="H28" s="13" t="s">
        <v>74</v>
      </c>
    </row>
    <row r="29" spans="5:8" hidden="1">
      <c r="E29" s="13">
        <v>620404</v>
      </c>
      <c r="F29" s="13" t="s">
        <v>48</v>
      </c>
      <c r="G29" s="13" t="s">
        <v>75</v>
      </c>
      <c r="H29" s="13" t="s">
        <v>74</v>
      </c>
    </row>
    <row r="30" spans="5:8" hidden="1">
      <c r="E30" s="13">
        <v>565761</v>
      </c>
      <c r="F30" s="13" t="s">
        <v>48</v>
      </c>
      <c r="G30" s="13" t="s">
        <v>76</v>
      </c>
      <c r="H30" s="13" t="s">
        <v>74</v>
      </c>
    </row>
    <row r="31" spans="5:8" hidden="1">
      <c r="E31" s="13">
        <v>561808</v>
      </c>
      <c r="F31" s="13" t="s">
        <v>48</v>
      </c>
      <c r="G31" s="13" t="s">
        <v>77</v>
      </c>
      <c r="H31" s="13" t="s">
        <v>74</v>
      </c>
    </row>
    <row r="32" spans="5:8" hidden="1">
      <c r="E32" s="13">
        <v>561803</v>
      </c>
      <c r="F32" s="13" t="s">
        <v>48</v>
      </c>
      <c r="G32" s="13" t="s">
        <v>78</v>
      </c>
      <c r="H32" s="13" t="s">
        <v>74</v>
      </c>
    </row>
  </sheetData>
  <autoFilter ref="H6:H32">
    <filterColumn colId="0">
      <filters>
        <filter val="Sr Claim Associate"/>
        <filter val="Sr Coding Analyst"/>
      </filters>
    </filterColumn>
  </autoFilter>
  <hyperlinks>
    <hyperlink ref="B1" location="'Question 4'!A1" display="Next Question"/>
    <hyperlink ref="A1" location="'Question Paper for Excel'!A1" display="Home"/>
    <hyperlink ref="C1" location="'Question 2'!A1" display="Previous Question"/>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sheetPr codeName="Sheet7"/>
  <dimension ref="A1:E28"/>
  <sheetViews>
    <sheetView showGridLines="0" workbookViewId="0">
      <selection activeCell="E28" sqref="E28"/>
    </sheetView>
  </sheetViews>
  <sheetFormatPr defaultColWidth="9.140625" defaultRowHeight="12.75"/>
  <cols>
    <col min="1" max="1" width="7.7109375" style="1" bestFit="1" customWidth="1"/>
    <col min="2" max="2" width="13.85546875" style="1" bestFit="1" customWidth="1"/>
    <col min="3" max="3" width="17.7109375" style="1" bestFit="1" customWidth="1"/>
    <col min="4" max="4" width="27.5703125" style="1" bestFit="1" customWidth="1"/>
    <col min="5" max="5" width="9" style="1" customWidth="1"/>
    <col min="6" max="16384" width="9.140625" style="1"/>
  </cols>
  <sheetData>
    <row r="1" spans="1:5" ht="15.75">
      <c r="A1" s="19" t="s">
        <v>18</v>
      </c>
      <c r="B1" s="20" t="s">
        <v>19</v>
      </c>
      <c r="C1" s="20" t="s">
        <v>43</v>
      </c>
    </row>
    <row r="4" spans="1:5">
      <c r="A4" s="12" t="s">
        <v>79</v>
      </c>
    </row>
    <row r="6" spans="1:5">
      <c r="D6" s="12" t="s">
        <v>9</v>
      </c>
      <c r="E6" s="12" t="s">
        <v>80</v>
      </c>
    </row>
    <row r="7" spans="1:5">
      <c r="D7" s="1" t="s">
        <v>81</v>
      </c>
      <c r="E7" s="1">
        <v>695548</v>
      </c>
    </row>
    <row r="8" spans="1:5">
      <c r="D8" s="1" t="s">
        <v>82</v>
      </c>
      <c r="E8" s="1">
        <v>691752</v>
      </c>
    </row>
    <row r="9" spans="1:5">
      <c r="D9" s="1" t="s">
        <v>83</v>
      </c>
      <c r="E9" s="1">
        <v>694104</v>
      </c>
    </row>
    <row r="10" spans="1:5">
      <c r="D10" s="1" t="s">
        <v>84</v>
      </c>
      <c r="E10" s="1">
        <v>694402</v>
      </c>
    </row>
    <row r="11" spans="1:5">
      <c r="D11" s="1" t="s">
        <v>85</v>
      </c>
      <c r="E11" s="1" t="s">
        <v>86</v>
      </c>
    </row>
    <row r="12" spans="1:5">
      <c r="D12" s="1" t="s">
        <v>87</v>
      </c>
      <c r="E12" s="1">
        <v>724629</v>
      </c>
    </row>
    <row r="13" spans="1:5">
      <c r="D13" s="1" t="s">
        <v>88</v>
      </c>
      <c r="E13" s="1">
        <v>725001</v>
      </c>
    </row>
    <row r="14" spans="1:5">
      <c r="D14" s="1" t="s">
        <v>89</v>
      </c>
      <c r="E14" s="1">
        <v>724626</v>
      </c>
    </row>
    <row r="15" spans="1:5">
      <c r="D15" s="1" t="s">
        <v>90</v>
      </c>
      <c r="E15" s="1">
        <v>645126</v>
      </c>
    </row>
    <row r="16" spans="1:5">
      <c r="D16" s="1" t="s">
        <v>91</v>
      </c>
      <c r="E16" s="1">
        <v>693546</v>
      </c>
    </row>
    <row r="17" spans="4:5">
      <c r="D17" s="1" t="s">
        <v>63</v>
      </c>
      <c r="E17" s="1">
        <v>644936</v>
      </c>
    </row>
    <row r="18" spans="4:5">
      <c r="D18" s="1" t="s">
        <v>92</v>
      </c>
      <c r="E18" s="1">
        <v>695549</v>
      </c>
    </row>
    <row r="19" spans="4:5">
      <c r="D19" s="1" t="s">
        <v>93</v>
      </c>
      <c r="E19" s="1">
        <v>653870</v>
      </c>
    </row>
    <row r="20" spans="4:5">
      <c r="D20" s="1" t="s">
        <v>94</v>
      </c>
      <c r="E20" s="1">
        <v>653905</v>
      </c>
    </row>
    <row r="21" spans="4:5">
      <c r="D21" s="1" t="s">
        <v>95</v>
      </c>
      <c r="E21" s="1">
        <v>653872</v>
      </c>
    </row>
    <row r="22" spans="4:5">
      <c r="D22" s="1" t="s">
        <v>96</v>
      </c>
      <c r="E22" s="1" t="s">
        <v>86</v>
      </c>
    </row>
    <row r="23" spans="4:5">
      <c r="D23" s="1" t="s">
        <v>56</v>
      </c>
      <c r="E23" s="1">
        <v>617446</v>
      </c>
    </row>
    <row r="24" spans="4:5">
      <c r="D24" s="1" t="s">
        <v>97</v>
      </c>
      <c r="E24" s="1">
        <v>651284</v>
      </c>
    </row>
    <row r="25" spans="4:5">
      <c r="D25" s="1" t="s">
        <v>58</v>
      </c>
      <c r="E25" s="1">
        <v>644931</v>
      </c>
    </row>
    <row r="26" spans="4:5">
      <c r="D26" s="1" t="s">
        <v>58</v>
      </c>
      <c r="E26" s="1">
        <v>644932</v>
      </c>
    </row>
    <row r="27" spans="4:5">
      <c r="D27" s="1" t="s">
        <v>58</v>
      </c>
      <c r="E27" s="1">
        <v>644932</v>
      </c>
    </row>
    <row r="28" spans="4:5">
      <c r="D28" s="12" t="s">
        <v>98</v>
      </c>
      <c r="E28" s="121">
        <f>SUM(E7:E27)</f>
        <v>12794391</v>
      </c>
    </row>
  </sheetData>
  <hyperlinks>
    <hyperlink ref="A1" location="'Question Paper for Excel'!A1" display="Home"/>
    <hyperlink ref="B1" location="'Question 5'!A1" display="Next Question"/>
    <hyperlink ref="C1" location="'Question 3'!A1" display="Previous Question"/>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8"/>
  <dimension ref="A1:F12"/>
  <sheetViews>
    <sheetView showGridLines="0" workbookViewId="0">
      <selection activeCell="F21" sqref="F21"/>
    </sheetView>
  </sheetViews>
  <sheetFormatPr defaultColWidth="9.140625" defaultRowHeight="12.75"/>
  <cols>
    <col min="1" max="1" width="7.7109375" style="1" bestFit="1" customWidth="1"/>
    <col min="2" max="2" width="13.85546875" style="1" bestFit="1" customWidth="1"/>
    <col min="3" max="3" width="17.7109375" style="1" bestFit="1" customWidth="1"/>
    <col min="4" max="16384" width="9.140625" style="1"/>
  </cols>
  <sheetData>
    <row r="1" spans="1:6" ht="15.75">
      <c r="A1" s="19" t="s">
        <v>18</v>
      </c>
      <c r="B1" s="20" t="s">
        <v>19</v>
      </c>
      <c r="C1" s="20" t="s">
        <v>43</v>
      </c>
    </row>
    <row r="4" spans="1:6">
      <c r="A4" s="35" t="s">
        <v>99</v>
      </c>
    </row>
    <row r="5" spans="1:6">
      <c r="A5" s="36"/>
    </row>
    <row r="6" spans="1:6">
      <c r="A6" s="36"/>
      <c r="C6" s="37" t="s">
        <v>100</v>
      </c>
      <c r="D6" s="38" t="s">
        <v>101</v>
      </c>
    </row>
    <row r="7" spans="1:6">
      <c r="A7" s="36"/>
      <c r="C7" s="37" t="s">
        <v>102</v>
      </c>
      <c r="D7" s="38" t="s">
        <v>103</v>
      </c>
    </row>
    <row r="8" spans="1:6">
      <c r="A8" s="36"/>
      <c r="C8" s="37" t="s">
        <v>104</v>
      </c>
      <c r="D8" s="38" t="s">
        <v>105</v>
      </c>
    </row>
    <row r="9" spans="1:6">
      <c r="A9" s="36"/>
      <c r="C9" s="37" t="s">
        <v>106</v>
      </c>
      <c r="D9" s="38" t="s">
        <v>107</v>
      </c>
    </row>
    <row r="11" spans="1:6" ht="13.5" thickBot="1"/>
    <row r="12" spans="1:6" ht="13.5" thickBot="1">
      <c r="C12" s="39" t="s">
        <v>108</v>
      </c>
      <c r="D12" s="122" t="s">
        <v>225</v>
      </c>
      <c r="E12" s="40"/>
      <c r="F12" s="41"/>
    </row>
  </sheetData>
  <hyperlinks>
    <hyperlink ref="A1" location="'Question Paper for Excel'!A1" display="Home"/>
    <hyperlink ref="B1" location="'Question 6'!A1" display="Next Question"/>
    <hyperlink ref="C1" location="'Question 4'!A1" display="Previous Question"/>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sheetPr codeName="Sheet9"/>
  <dimension ref="A1:F28"/>
  <sheetViews>
    <sheetView showGridLines="0" topLeftCell="A3" workbookViewId="0">
      <selection activeCell="F28" sqref="F28"/>
    </sheetView>
  </sheetViews>
  <sheetFormatPr defaultColWidth="9.140625" defaultRowHeight="12.75"/>
  <cols>
    <col min="1" max="1" width="9" style="1" bestFit="1" customWidth="1"/>
    <col min="2" max="2" width="19.42578125" style="1" customWidth="1"/>
    <col min="3" max="3" width="17.7109375" style="1" bestFit="1" customWidth="1"/>
    <col min="4" max="4" width="9.140625" style="1"/>
    <col min="5" max="5" width="27.5703125" style="1" bestFit="1" customWidth="1"/>
    <col min="6" max="6" width="9" style="1" bestFit="1" customWidth="1"/>
    <col min="7" max="16384" width="9.140625" style="1"/>
  </cols>
  <sheetData>
    <row r="1" spans="1:6" ht="15.75">
      <c r="A1" s="19" t="s">
        <v>18</v>
      </c>
      <c r="B1" s="20" t="s">
        <v>19</v>
      </c>
      <c r="C1" s="20" t="s">
        <v>43</v>
      </c>
    </row>
    <row r="4" spans="1:6">
      <c r="A4" s="12" t="s">
        <v>44</v>
      </c>
      <c r="B4" s="12" t="s">
        <v>109</v>
      </c>
    </row>
    <row r="5" spans="1:6" ht="13.5" thickBot="1">
      <c r="A5" s="12"/>
      <c r="B5" s="12"/>
    </row>
    <row r="6" spans="1:6" ht="13.5" thickBot="1">
      <c r="E6" s="42" t="s">
        <v>9</v>
      </c>
      <c r="F6" s="43" t="s">
        <v>80</v>
      </c>
    </row>
    <row r="7" spans="1:6">
      <c r="E7" s="44" t="s">
        <v>81</v>
      </c>
      <c r="F7" s="45">
        <v>695548</v>
      </c>
    </row>
    <row r="8" spans="1:6">
      <c r="E8" s="46" t="s">
        <v>82</v>
      </c>
      <c r="F8" s="47">
        <v>691752</v>
      </c>
    </row>
    <row r="9" spans="1:6">
      <c r="E9" s="46" t="s">
        <v>83</v>
      </c>
      <c r="F9" s="47">
        <v>694104</v>
      </c>
    </row>
    <row r="10" spans="1:6">
      <c r="E10" s="46" t="s">
        <v>84</v>
      </c>
      <c r="F10" s="47">
        <v>694402</v>
      </c>
    </row>
    <row r="11" spans="1:6">
      <c r="E11" s="46" t="s">
        <v>85</v>
      </c>
      <c r="F11" s="47" t="s">
        <v>86</v>
      </c>
    </row>
    <row r="12" spans="1:6">
      <c r="E12" s="46" t="s">
        <v>87</v>
      </c>
      <c r="F12" s="47">
        <v>724629</v>
      </c>
    </row>
    <row r="13" spans="1:6">
      <c r="E13" s="46" t="s">
        <v>88</v>
      </c>
      <c r="F13" s="47">
        <v>725001</v>
      </c>
    </row>
    <row r="14" spans="1:6">
      <c r="E14" s="46" t="s">
        <v>89</v>
      </c>
      <c r="F14" s="47">
        <v>724626</v>
      </c>
    </row>
    <row r="15" spans="1:6">
      <c r="E15" s="46" t="s">
        <v>90</v>
      </c>
      <c r="F15" s="47">
        <v>645126</v>
      </c>
    </row>
    <row r="16" spans="1:6">
      <c r="E16" s="46" t="s">
        <v>91</v>
      </c>
      <c r="F16" s="47">
        <v>693546</v>
      </c>
    </row>
    <row r="17" spans="5:6">
      <c r="E17" s="46" t="s">
        <v>63</v>
      </c>
      <c r="F17" s="47">
        <v>644936</v>
      </c>
    </row>
    <row r="18" spans="5:6">
      <c r="E18" s="46" t="s">
        <v>92</v>
      </c>
      <c r="F18" s="47">
        <v>695549</v>
      </c>
    </row>
    <row r="19" spans="5:6">
      <c r="E19" s="46" t="s">
        <v>93</v>
      </c>
      <c r="F19" s="47">
        <v>653870</v>
      </c>
    </row>
    <row r="20" spans="5:6">
      <c r="E20" s="46" t="s">
        <v>94</v>
      </c>
      <c r="F20" s="47">
        <v>653905</v>
      </c>
    </row>
    <row r="21" spans="5:6">
      <c r="E21" s="46" t="s">
        <v>95</v>
      </c>
      <c r="F21" s="47">
        <v>653872</v>
      </c>
    </row>
    <row r="22" spans="5:6">
      <c r="E22" s="46" t="s">
        <v>96</v>
      </c>
      <c r="F22" s="47" t="s">
        <v>86</v>
      </c>
    </row>
    <row r="23" spans="5:6">
      <c r="E23" s="46" t="s">
        <v>56</v>
      </c>
      <c r="F23" s="47">
        <v>617446</v>
      </c>
    </row>
    <row r="24" spans="5:6">
      <c r="E24" s="46" t="s">
        <v>97</v>
      </c>
      <c r="F24" s="47">
        <v>651284</v>
      </c>
    </row>
    <row r="25" spans="5:6">
      <c r="E25" s="46" t="s">
        <v>58</v>
      </c>
      <c r="F25" s="47">
        <v>644931</v>
      </c>
    </row>
    <row r="26" spans="5:6">
      <c r="E26" s="46" t="s">
        <v>58</v>
      </c>
      <c r="F26" s="47">
        <v>644932</v>
      </c>
    </row>
    <row r="27" spans="5:6" ht="13.5" thickBot="1">
      <c r="E27" s="48" t="s">
        <v>58</v>
      </c>
      <c r="F27" s="49">
        <v>644933</v>
      </c>
    </row>
    <row r="28" spans="5:6" ht="13.5" thickBot="1">
      <c r="E28" s="50" t="s">
        <v>110</v>
      </c>
      <c r="F28" s="155">
        <f>COUNTA(F7:F27)</f>
        <v>21</v>
      </c>
    </row>
  </sheetData>
  <hyperlinks>
    <hyperlink ref="A1" location="'Question Paper for Excel'!A1" display="Home"/>
    <hyperlink ref="B1" location="'Question 7'!A1" display="Next Question"/>
    <hyperlink ref="C1" location="'Question 5'!A1" display="Previous Question"/>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sheetPr codeName="Sheet10"/>
  <dimension ref="A1:G27"/>
  <sheetViews>
    <sheetView showGridLines="0" workbookViewId="0">
      <selection activeCell="G8" sqref="G8"/>
    </sheetView>
  </sheetViews>
  <sheetFormatPr defaultColWidth="9.140625" defaultRowHeight="12.75"/>
  <cols>
    <col min="1" max="1" width="9" style="1" bestFit="1" customWidth="1"/>
    <col min="2" max="2" width="13.85546875" style="1" bestFit="1" customWidth="1"/>
    <col min="3" max="3" width="16.140625" style="1" bestFit="1" customWidth="1"/>
    <col min="4" max="5" width="9.140625" style="1"/>
    <col min="6" max="6" width="22.42578125" style="1" bestFit="1" customWidth="1"/>
    <col min="7" max="16384" width="9.140625" style="1"/>
  </cols>
  <sheetData>
    <row r="1" spans="1:7" ht="15.75">
      <c r="A1" s="19" t="s">
        <v>18</v>
      </c>
      <c r="B1" s="20" t="s">
        <v>19</v>
      </c>
      <c r="C1" s="52" t="s">
        <v>43</v>
      </c>
    </row>
    <row r="4" spans="1:7">
      <c r="A4" s="12" t="s">
        <v>44</v>
      </c>
      <c r="B4" s="12" t="s">
        <v>111</v>
      </c>
    </row>
    <row r="5" spans="1:7" ht="13.5" thickBot="1"/>
    <row r="6" spans="1:7" ht="13.5" thickBot="1">
      <c r="F6" s="11" t="s">
        <v>9</v>
      </c>
      <c r="G6" s="17" t="s">
        <v>112</v>
      </c>
    </row>
    <row r="7" spans="1:7" ht="13.5" thickBot="1">
      <c r="F7" s="44" t="s">
        <v>81</v>
      </c>
      <c r="G7" s="123">
        <f>LEN(F7)</f>
        <v>19</v>
      </c>
    </row>
    <row r="8" spans="1:7" ht="13.5" thickBot="1">
      <c r="F8" s="46" t="s">
        <v>82</v>
      </c>
      <c r="G8" s="123"/>
    </row>
    <row r="9" spans="1:7" ht="13.5" thickBot="1">
      <c r="F9" s="46" t="s">
        <v>83</v>
      </c>
      <c r="G9" s="123"/>
    </row>
    <row r="10" spans="1:7" ht="13.5" thickBot="1">
      <c r="F10" s="46" t="s">
        <v>84</v>
      </c>
      <c r="G10" s="123"/>
    </row>
    <row r="11" spans="1:7" ht="13.5" thickBot="1">
      <c r="F11" s="46" t="s">
        <v>85</v>
      </c>
      <c r="G11" s="123"/>
    </row>
    <row r="12" spans="1:7" ht="13.5" thickBot="1">
      <c r="F12" s="46" t="s">
        <v>87</v>
      </c>
      <c r="G12" s="123"/>
    </row>
    <row r="13" spans="1:7" ht="13.5" thickBot="1">
      <c r="F13" s="46" t="s">
        <v>88</v>
      </c>
      <c r="G13" s="123"/>
    </row>
    <row r="14" spans="1:7" ht="13.5" thickBot="1">
      <c r="F14" s="46" t="s">
        <v>89</v>
      </c>
      <c r="G14" s="123"/>
    </row>
    <row r="15" spans="1:7" ht="13.5" thickBot="1">
      <c r="F15" s="46" t="s">
        <v>90</v>
      </c>
      <c r="G15" s="123"/>
    </row>
    <row r="16" spans="1:7" ht="13.5" thickBot="1">
      <c r="F16" s="46" t="s">
        <v>91</v>
      </c>
      <c r="G16" s="123"/>
    </row>
    <row r="17" spans="6:7" ht="13.5" thickBot="1">
      <c r="F17" s="46" t="s">
        <v>63</v>
      </c>
      <c r="G17" s="123"/>
    </row>
    <row r="18" spans="6:7" ht="13.5" thickBot="1">
      <c r="F18" s="46" t="s">
        <v>92</v>
      </c>
      <c r="G18" s="123"/>
    </row>
    <row r="19" spans="6:7" ht="13.5" thickBot="1">
      <c r="F19" s="46" t="s">
        <v>93</v>
      </c>
      <c r="G19" s="123"/>
    </row>
    <row r="20" spans="6:7" ht="13.5" thickBot="1">
      <c r="F20" s="46" t="s">
        <v>94</v>
      </c>
      <c r="G20" s="123"/>
    </row>
    <row r="21" spans="6:7" ht="13.5" thickBot="1">
      <c r="F21" s="46" t="s">
        <v>95</v>
      </c>
      <c r="G21" s="123"/>
    </row>
    <row r="22" spans="6:7" ht="13.5" thickBot="1">
      <c r="F22" s="46" t="s">
        <v>96</v>
      </c>
      <c r="G22" s="123"/>
    </row>
    <row r="23" spans="6:7" ht="13.5" thickBot="1">
      <c r="F23" s="46" t="s">
        <v>56</v>
      </c>
      <c r="G23" s="123"/>
    </row>
    <row r="24" spans="6:7" ht="13.5" thickBot="1">
      <c r="F24" s="46" t="s">
        <v>97</v>
      </c>
      <c r="G24" s="123"/>
    </row>
    <row r="25" spans="6:7" ht="13.5" thickBot="1">
      <c r="F25" s="46" t="s">
        <v>58</v>
      </c>
      <c r="G25" s="123"/>
    </row>
    <row r="26" spans="6:7" ht="13.5" thickBot="1">
      <c r="F26" s="46" t="s">
        <v>58</v>
      </c>
      <c r="G26" s="123"/>
    </row>
    <row r="27" spans="6:7">
      <c r="F27" s="46" t="s">
        <v>58</v>
      </c>
      <c r="G27" s="123"/>
    </row>
  </sheetData>
  <hyperlinks>
    <hyperlink ref="A1" location="'Question Paper for Excel'!A1" display="Home"/>
    <hyperlink ref="B1" location="'Question 8'!A1" display="Next Question"/>
    <hyperlink ref="C1" location="'Question 6'!A1" display="Previous Question"/>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1"/>
  <dimension ref="A1:D28"/>
  <sheetViews>
    <sheetView showGridLines="0" topLeftCell="A2" workbookViewId="0">
      <selection activeCell="F20" sqref="F20"/>
    </sheetView>
  </sheetViews>
  <sheetFormatPr defaultColWidth="9.140625" defaultRowHeight="12.75"/>
  <cols>
    <col min="1" max="1" width="9" style="1" bestFit="1" customWidth="1"/>
    <col min="2" max="2" width="13.85546875" style="1" bestFit="1" customWidth="1"/>
    <col min="3" max="3" width="16.140625" style="1" bestFit="1" customWidth="1"/>
    <col min="4" max="4" width="22.42578125" style="1" bestFit="1" customWidth="1"/>
    <col min="5" max="16384" width="9.140625" style="1"/>
  </cols>
  <sheetData>
    <row r="1" spans="1:4" ht="15.75">
      <c r="A1" s="19" t="s">
        <v>18</v>
      </c>
      <c r="B1" s="20" t="s">
        <v>19</v>
      </c>
      <c r="C1" s="52" t="s">
        <v>43</v>
      </c>
    </row>
    <row r="5" spans="1:4">
      <c r="A5" s="12" t="s">
        <v>44</v>
      </c>
      <c r="B5" s="12" t="s">
        <v>113</v>
      </c>
    </row>
    <row r="6" spans="1:4" ht="13.5" thickBot="1">
      <c r="A6" s="12"/>
      <c r="B6" s="12"/>
    </row>
    <row r="7" spans="1:4" ht="13.5" thickBot="1">
      <c r="D7" s="11" t="s">
        <v>9</v>
      </c>
    </row>
    <row r="8" spans="1:4">
      <c r="D8" s="53" t="s">
        <v>81</v>
      </c>
    </row>
    <row r="9" spans="1:4">
      <c r="D9" s="54" t="s">
        <v>114</v>
      </c>
    </row>
    <row r="10" spans="1:4">
      <c r="D10" s="54" t="s">
        <v>83</v>
      </c>
    </row>
    <row r="11" spans="1:4">
      <c r="D11" s="54" t="s">
        <v>84</v>
      </c>
    </row>
    <row r="12" spans="1:4">
      <c r="D12" s="54" t="s">
        <v>114</v>
      </c>
    </row>
    <row r="13" spans="1:4">
      <c r="D13" s="54" t="s">
        <v>114</v>
      </c>
    </row>
    <row r="14" spans="1:4">
      <c r="D14" s="54" t="s">
        <v>88</v>
      </c>
    </row>
    <row r="15" spans="1:4">
      <c r="D15" s="54" t="s">
        <v>89</v>
      </c>
    </row>
    <row r="16" spans="1:4">
      <c r="D16" s="54" t="s">
        <v>90</v>
      </c>
    </row>
    <row r="17" spans="4:4">
      <c r="D17" s="54" t="s">
        <v>91</v>
      </c>
    </row>
    <row r="18" spans="4:4">
      <c r="D18" s="54" t="s">
        <v>63</v>
      </c>
    </row>
    <row r="19" spans="4:4">
      <c r="D19" s="54" t="s">
        <v>92</v>
      </c>
    </row>
    <row r="20" spans="4:4">
      <c r="D20" s="54" t="s">
        <v>114</v>
      </c>
    </row>
    <row r="21" spans="4:4">
      <c r="D21" s="54" t="s">
        <v>114</v>
      </c>
    </row>
    <row r="22" spans="4:4">
      <c r="D22" s="54" t="s">
        <v>114</v>
      </c>
    </row>
    <row r="23" spans="4:4">
      <c r="D23" s="54" t="s">
        <v>96</v>
      </c>
    </row>
    <row r="24" spans="4:4">
      <c r="D24" s="54" t="s">
        <v>56</v>
      </c>
    </row>
    <row r="25" spans="4:4">
      <c r="D25" s="54" t="s">
        <v>114</v>
      </c>
    </row>
    <row r="26" spans="4:4">
      <c r="D26" s="54" t="s">
        <v>58</v>
      </c>
    </row>
    <row r="27" spans="4:4">
      <c r="D27" s="54" t="s">
        <v>58</v>
      </c>
    </row>
    <row r="28" spans="4:4" ht="13.5" thickBot="1">
      <c r="D28" s="55" t="s">
        <v>58</v>
      </c>
    </row>
  </sheetData>
  <conditionalFormatting sqref="D8:D28">
    <cfRule type="duplicateValues" dxfId="1" priority="1"/>
  </conditionalFormatting>
  <hyperlinks>
    <hyperlink ref="A1" location="'Question Paper for Excel'!A1" display="Home"/>
    <hyperlink ref="B1" location="'Question 9'!A1" display="Next Question"/>
    <hyperlink ref="C1" location="'Question 7'!A1" display="Previous Question"/>
  </hyperlinks>
  <pageMargins left="0.75" right="0.75" top="1" bottom="1" header="0.5" footer="0.5"/>
  <pageSetup orientation="portrait" horizontalDpi="4294967293" verticalDpi="0" r:id="rId1"/>
  <headerFooter alignWithMargins="0"/>
</worksheet>
</file>

<file path=xl/worksheets/sheet10.xml><?xml version="1.0" encoding="utf-8"?>
<worksheet xmlns="http://schemas.openxmlformats.org/spreadsheetml/2006/main" xmlns:r="http://schemas.openxmlformats.org/officeDocument/2006/relationships">
  <sheetPr codeName="Sheet12"/>
  <dimension ref="A1:H12"/>
  <sheetViews>
    <sheetView showGridLines="0" workbookViewId="0">
      <selection activeCell="I12" sqref="I12"/>
    </sheetView>
  </sheetViews>
  <sheetFormatPr defaultColWidth="9.140625" defaultRowHeight="12.75"/>
  <cols>
    <col min="1" max="1" width="9" style="1" bestFit="1" customWidth="1"/>
    <col min="2" max="2" width="13.85546875" style="1" bestFit="1" customWidth="1"/>
    <col min="3" max="3" width="16.140625" style="1" bestFit="1" customWidth="1"/>
    <col min="4" max="4" width="9.140625" style="1"/>
    <col min="5" max="6" width="10.7109375" style="1" customWidth="1"/>
    <col min="7" max="7" width="10.5703125" style="1" bestFit="1" customWidth="1"/>
    <col min="8" max="8" width="18.140625" style="1" bestFit="1" customWidth="1"/>
    <col min="9" max="16384" width="9.140625" style="1"/>
  </cols>
  <sheetData>
    <row r="1" spans="1:8" ht="15.75">
      <c r="A1" s="19" t="s">
        <v>18</v>
      </c>
      <c r="B1" s="20" t="s">
        <v>19</v>
      </c>
      <c r="C1" s="52" t="s">
        <v>43</v>
      </c>
    </row>
    <row r="4" spans="1:8">
      <c r="A4" s="12" t="s">
        <v>44</v>
      </c>
      <c r="B4" s="12" t="s">
        <v>115</v>
      </c>
    </row>
    <row r="5" spans="1:8" ht="13.5" thickBot="1"/>
    <row r="6" spans="1:8" ht="13.5" thickBot="1">
      <c r="E6" s="42" t="s">
        <v>116</v>
      </c>
      <c r="F6" s="104" t="s">
        <v>182</v>
      </c>
      <c r="G6" s="56" t="s">
        <v>117</v>
      </c>
      <c r="H6" s="43" t="s">
        <v>118</v>
      </c>
    </row>
    <row r="7" spans="1:8" ht="13.5" thickBot="1">
      <c r="E7" s="153" t="s">
        <v>119</v>
      </c>
      <c r="F7" s="105"/>
      <c r="G7" s="154" t="s">
        <v>120</v>
      </c>
      <c r="H7" s="152" t="str">
        <f>CONCATENATE(E7," ",G7)</f>
        <v>Narbir Singh</v>
      </c>
    </row>
    <row r="8" spans="1:8" ht="13.5" thickBot="1">
      <c r="E8" s="46" t="s">
        <v>121</v>
      </c>
      <c r="F8" s="106" t="s">
        <v>179</v>
      </c>
      <c r="G8" s="47" t="s">
        <v>122</v>
      </c>
      <c r="H8" s="124" t="str">
        <f>CONCATENATE(E8,F8,G8)</f>
        <v>ZiaAbdullaShekh</v>
      </c>
    </row>
    <row r="9" spans="1:8" ht="13.5" thickBot="1">
      <c r="E9" s="46" t="s">
        <v>31</v>
      </c>
      <c r="F9" s="106"/>
      <c r="G9" s="47" t="s">
        <v>123</v>
      </c>
      <c r="H9" s="124" t="str">
        <f>CONCATENATE(E9, G9)</f>
        <v>AshishArora</v>
      </c>
    </row>
    <row r="10" spans="1:8" ht="13.5" thickBot="1">
      <c r="E10" s="46" t="s">
        <v>124</v>
      </c>
      <c r="F10" s="106"/>
      <c r="G10" s="47" t="s">
        <v>125</v>
      </c>
      <c r="H10" s="124" t="str">
        <f t="shared" ref="H10:H12" si="0">CONCATENATE(E10, G10)</f>
        <v>Pankaj Gupta</v>
      </c>
    </row>
    <row r="11" spans="1:8" ht="13.5" thickBot="1">
      <c r="E11" s="46" t="s">
        <v>180</v>
      </c>
      <c r="F11" s="106" t="s">
        <v>126</v>
      </c>
      <c r="G11" s="47" t="s">
        <v>181</v>
      </c>
      <c r="H11" s="124" t="str">
        <f>CONCATENATE(E11,F11,G11)</f>
        <v>AmitKumarSharma</v>
      </c>
    </row>
    <row r="12" spans="1:8" ht="13.5" thickBot="1">
      <c r="E12" s="48" t="s">
        <v>31</v>
      </c>
      <c r="F12" s="107"/>
      <c r="G12" s="49" t="s">
        <v>126</v>
      </c>
      <c r="H12" s="124" t="str">
        <f>CONCATENATE(E12," ", G12)</f>
        <v>Ashish Kumar</v>
      </c>
    </row>
  </sheetData>
  <hyperlinks>
    <hyperlink ref="A1" location="'Question Paper for Excel'!A1" display="Home"/>
    <hyperlink ref="B1" location="'Question 10'!A1" display="Next Question"/>
    <hyperlink ref="C1" location="'Question 8'!A1" display="Previous Question"/>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13"/>
  <dimension ref="A1:E45"/>
  <sheetViews>
    <sheetView showGridLines="0" topLeftCell="A20" workbookViewId="0">
      <selection activeCell="E33" sqref="E33"/>
    </sheetView>
  </sheetViews>
  <sheetFormatPr defaultColWidth="9.140625" defaultRowHeight="12.75"/>
  <cols>
    <col min="1" max="1" width="9" style="1" bestFit="1" customWidth="1"/>
    <col min="2" max="2" width="13.85546875" style="1" bestFit="1" customWidth="1"/>
    <col min="3" max="3" width="16.140625" style="1" bestFit="1" customWidth="1"/>
    <col min="4" max="4" width="9.140625" style="1"/>
    <col min="5" max="5" width="25" style="1" bestFit="1" customWidth="1"/>
    <col min="6" max="16384" width="9.140625" style="1"/>
  </cols>
  <sheetData>
    <row r="1" spans="1:5" ht="15.75">
      <c r="A1" s="19" t="s">
        <v>18</v>
      </c>
      <c r="B1" s="20" t="s">
        <v>19</v>
      </c>
      <c r="C1" s="52" t="s">
        <v>43</v>
      </c>
    </row>
    <row r="3" spans="1:5">
      <c r="A3" s="12" t="s">
        <v>44</v>
      </c>
      <c r="B3" s="12" t="s">
        <v>127</v>
      </c>
    </row>
    <row r="7" spans="1:5">
      <c r="E7" s="57" t="s">
        <v>128</v>
      </c>
    </row>
    <row r="8" spans="1:5">
      <c r="E8" s="58">
        <v>3014</v>
      </c>
    </row>
    <row r="9" spans="1:5">
      <c r="E9" s="58">
        <v>2709</v>
      </c>
    </row>
    <row r="10" spans="1:5">
      <c r="E10" s="58">
        <v>2674</v>
      </c>
    </row>
    <row r="11" spans="1:5">
      <c r="E11" s="58">
        <v>2581</v>
      </c>
    </row>
    <row r="12" spans="1:5">
      <c r="E12" s="58">
        <v>2499</v>
      </c>
    </row>
    <row r="13" spans="1:5">
      <c r="E13" s="58">
        <v>2430</v>
      </c>
    </row>
    <row r="14" spans="1:5">
      <c r="E14" s="58">
        <v>2101</v>
      </c>
    </row>
    <row r="15" spans="1:5">
      <c r="E15" s="58">
        <v>1919</v>
      </c>
    </row>
    <row r="16" spans="1:5">
      <c r="E16" s="58">
        <v>1882</v>
      </c>
    </row>
    <row r="17" spans="5:5">
      <c r="E17" s="58">
        <v>1828</v>
      </c>
    </row>
    <row r="18" spans="5:5">
      <c r="E18" s="58">
        <v>1561</v>
      </c>
    </row>
    <row r="19" spans="5:5">
      <c r="E19" s="58">
        <v>1537</v>
      </c>
    </row>
    <row r="20" spans="5:5">
      <c r="E20" s="58">
        <v>1530</v>
      </c>
    </row>
    <row r="21" spans="5:5">
      <c r="E21" s="58">
        <v>1520</v>
      </c>
    </row>
    <row r="22" spans="5:5">
      <c r="E22" s="58">
        <v>1518</v>
      </c>
    </row>
    <row r="23" spans="5:5">
      <c r="E23" s="58">
        <v>1499</v>
      </c>
    </row>
    <row r="24" spans="5:5">
      <c r="E24" s="58">
        <v>1467</v>
      </c>
    </row>
    <row r="25" spans="5:5">
      <c r="E25" s="58">
        <v>1466</v>
      </c>
    </row>
    <row r="26" spans="5:5">
      <c r="E26" s="58">
        <v>1462</v>
      </c>
    </row>
    <row r="27" spans="5:5">
      <c r="E27" s="58">
        <v>1460</v>
      </c>
    </row>
    <row r="28" spans="5:5">
      <c r="E28" s="58">
        <v>1442</v>
      </c>
    </row>
    <row r="29" spans="5:5">
      <c r="E29" s="58">
        <v>1431</v>
      </c>
    </row>
    <row r="30" spans="5:5">
      <c r="E30" s="58">
        <v>1421</v>
      </c>
    </row>
    <row r="31" spans="5:5">
      <c r="E31" s="58">
        <v>1406</v>
      </c>
    </row>
    <row r="32" spans="5:5">
      <c r="E32" s="58">
        <v>1403</v>
      </c>
    </row>
    <row r="33" spans="5:5">
      <c r="E33" s="58">
        <v>1384</v>
      </c>
    </row>
    <row r="34" spans="5:5">
      <c r="E34" s="58">
        <v>1377</v>
      </c>
    </row>
    <row r="35" spans="5:5">
      <c r="E35" s="58">
        <v>1375</v>
      </c>
    </row>
    <row r="36" spans="5:5">
      <c r="E36" s="58">
        <v>1374</v>
      </c>
    </row>
    <row r="37" spans="5:5">
      <c r="E37" s="58">
        <v>1372</v>
      </c>
    </row>
    <row r="38" spans="5:5">
      <c r="E38" s="58">
        <v>1370</v>
      </c>
    </row>
    <row r="39" spans="5:5">
      <c r="E39" s="58">
        <v>1368</v>
      </c>
    </row>
    <row r="40" spans="5:5">
      <c r="E40" s="58">
        <v>1365</v>
      </c>
    </row>
    <row r="41" spans="5:5">
      <c r="E41" s="58">
        <v>1365</v>
      </c>
    </row>
    <row r="42" spans="5:5">
      <c r="E42" s="58">
        <v>1365</v>
      </c>
    </row>
    <row r="43" spans="5:5">
      <c r="E43" s="58">
        <v>1364</v>
      </c>
    </row>
    <row r="44" spans="5:5">
      <c r="E44" s="58">
        <v>1362</v>
      </c>
    </row>
    <row r="45" spans="5:5">
      <c r="E45" s="58">
        <v>1362</v>
      </c>
    </row>
  </sheetData>
  <conditionalFormatting sqref="E8:E45">
    <cfRule type="cellIs" dxfId="0" priority="1" operator="lessThan">
      <formula>1400</formula>
    </cfRule>
  </conditionalFormatting>
  <hyperlinks>
    <hyperlink ref="A1" location="'Question Paper for Excel'!A1" display="Home"/>
    <hyperlink ref="B1" location="'Question 11'!A1" display="Next Question"/>
    <hyperlink ref="C1" location="'Question 9'!A1" display="Previous Question"/>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16"/>
  <dimension ref="A1:BL87"/>
  <sheetViews>
    <sheetView showGridLines="0" workbookViewId="0">
      <selection activeCell="H9" sqref="H9"/>
    </sheetView>
  </sheetViews>
  <sheetFormatPr defaultColWidth="9.140625" defaultRowHeight="12.75" zeroHeight="1"/>
  <cols>
    <col min="1" max="1" width="17.42578125" style="1" bestFit="1" customWidth="1"/>
    <col min="2" max="2" width="14.140625" style="1" customWidth="1"/>
    <col min="3" max="3" width="22.42578125" style="1" bestFit="1" customWidth="1"/>
    <col min="4" max="4" width="19.42578125" style="1" bestFit="1" customWidth="1"/>
    <col min="5" max="5" width="8.42578125" style="1" customWidth="1"/>
    <col min="6" max="10" width="9.140625" style="1"/>
    <col min="11" max="11" width="26.85546875" style="1" customWidth="1"/>
    <col min="12" max="12" width="16.28515625" style="1" customWidth="1"/>
    <col min="13" max="37" width="7" style="1" customWidth="1"/>
    <col min="38" max="38" width="11.28515625" style="1" customWidth="1"/>
    <col min="39" max="39" width="18" style="1" bestFit="1" customWidth="1"/>
    <col min="40" max="40" width="16.5703125" style="1" customWidth="1"/>
    <col min="41" max="41" width="19.7109375" style="1" bestFit="1" customWidth="1"/>
    <col min="42" max="42" width="16.42578125" style="1" customWidth="1"/>
    <col min="43" max="43" width="19.5703125" style="1" bestFit="1" customWidth="1"/>
    <col min="44" max="44" width="13" style="1" customWidth="1"/>
    <col min="45" max="45" width="16.140625" style="1" bestFit="1" customWidth="1"/>
    <col min="46" max="46" width="18.7109375" style="1" customWidth="1"/>
    <col min="47" max="47" width="22" style="1" bestFit="1" customWidth="1"/>
    <col min="48" max="48" width="19.28515625" style="1" customWidth="1"/>
    <col min="49" max="49" width="22.42578125" style="1" bestFit="1" customWidth="1"/>
    <col min="50" max="50" width="21" style="1" bestFit="1" customWidth="1"/>
    <col min="51" max="51" width="24.140625" style="1" bestFit="1" customWidth="1"/>
    <col min="52" max="52" width="25" style="1" customWidth="1"/>
    <col min="53" max="53" width="28.140625" style="1" bestFit="1" customWidth="1"/>
    <col min="54" max="54" width="13.42578125" style="1" customWidth="1"/>
    <col min="55" max="55" width="16.5703125" style="1" bestFit="1" customWidth="1"/>
    <col min="56" max="56" width="11.5703125" style="1" customWidth="1"/>
    <col min="57" max="57" width="14.7109375" style="1" bestFit="1" customWidth="1"/>
    <col min="58" max="58" width="16.5703125" style="1" customWidth="1"/>
    <col min="59" max="59" width="19.7109375" style="1" bestFit="1" customWidth="1"/>
    <col min="60" max="60" width="16.42578125" style="1" customWidth="1"/>
    <col min="61" max="61" width="19.5703125" style="1" bestFit="1" customWidth="1"/>
    <col min="62" max="62" width="20" style="1" customWidth="1"/>
    <col min="63" max="63" width="23.140625" style="1" bestFit="1" customWidth="1"/>
    <col min="64" max="64" width="11.28515625" style="1" bestFit="1" customWidth="1"/>
    <col min="65" max="16384" width="9.140625" style="1"/>
  </cols>
  <sheetData>
    <row r="1" spans="1:64" ht="15.75">
      <c r="A1" s="19" t="s">
        <v>18</v>
      </c>
      <c r="B1" s="20" t="s">
        <v>19</v>
      </c>
      <c r="C1" s="52" t="s">
        <v>43</v>
      </c>
    </row>
    <row r="2" spans="1:64"/>
    <row r="3" spans="1:64"/>
    <row r="4" spans="1:64">
      <c r="A4" s="12" t="s">
        <v>44</v>
      </c>
      <c r="B4" s="12" t="s">
        <v>129</v>
      </c>
    </row>
    <row r="5" spans="1:64" ht="15.75" thickBot="1">
      <c r="K5"/>
      <c r="L5"/>
    </row>
    <row r="6" spans="1:64" ht="13.5" thickBot="1">
      <c r="A6" s="59" t="s">
        <v>21</v>
      </c>
      <c r="B6" s="60" t="s">
        <v>47</v>
      </c>
      <c r="C6" s="60" t="s">
        <v>22</v>
      </c>
      <c r="D6" s="61" t="s">
        <v>23</v>
      </c>
    </row>
    <row r="7" spans="1:64" ht="15">
      <c r="A7" s="62">
        <v>565770</v>
      </c>
      <c r="B7" s="63" t="s">
        <v>48</v>
      </c>
      <c r="C7" s="63" t="s">
        <v>49</v>
      </c>
      <c r="D7" s="64" t="s">
        <v>50</v>
      </c>
      <c r="H7"/>
      <c r="K7"/>
      <c r="L7" s="149" t="s">
        <v>228</v>
      </c>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row>
    <row r="8" spans="1:64" ht="15">
      <c r="A8" s="62">
        <v>589499</v>
      </c>
      <c r="B8" s="63" t="s">
        <v>48</v>
      </c>
      <c r="C8" s="63" t="s">
        <v>51</v>
      </c>
      <c r="D8" s="64" t="s">
        <v>50</v>
      </c>
      <c r="H8"/>
      <c r="K8" s="149" t="s">
        <v>227</v>
      </c>
      <c r="L8">
        <v>561803</v>
      </c>
      <c r="M8">
        <v>561808</v>
      </c>
      <c r="N8">
        <v>565761</v>
      </c>
      <c r="O8">
        <v>565770</v>
      </c>
      <c r="P8">
        <v>589499</v>
      </c>
      <c r="Q8">
        <v>589502</v>
      </c>
      <c r="R8">
        <v>589952</v>
      </c>
      <c r="S8">
        <v>612379</v>
      </c>
      <c r="T8">
        <v>617446</v>
      </c>
      <c r="U8">
        <v>620404</v>
      </c>
      <c r="V8">
        <v>639866</v>
      </c>
      <c r="W8">
        <v>644931</v>
      </c>
      <c r="X8">
        <v>644932</v>
      </c>
      <c r="Y8">
        <v>644933</v>
      </c>
      <c r="Z8">
        <v>644934</v>
      </c>
      <c r="AA8">
        <v>644935</v>
      </c>
      <c r="AB8">
        <v>644936</v>
      </c>
      <c r="AC8">
        <v>644937</v>
      </c>
      <c r="AD8">
        <v>645124</v>
      </c>
      <c r="AE8">
        <v>645125</v>
      </c>
      <c r="AF8">
        <v>645280</v>
      </c>
      <c r="AG8">
        <v>685246</v>
      </c>
      <c r="AH8">
        <v>685250</v>
      </c>
      <c r="AI8">
        <v>695935</v>
      </c>
      <c r="AJ8">
        <v>728107</v>
      </c>
      <c r="AK8">
        <v>728129</v>
      </c>
      <c r="AL8" t="s">
        <v>98</v>
      </c>
      <c r="AM8"/>
      <c r="AN8"/>
      <c r="AO8"/>
      <c r="AP8"/>
      <c r="AQ8"/>
      <c r="AR8"/>
      <c r="AS8"/>
      <c r="AT8"/>
      <c r="AU8"/>
      <c r="AV8"/>
      <c r="AW8"/>
      <c r="AX8"/>
      <c r="AY8"/>
      <c r="AZ8"/>
      <c r="BA8"/>
      <c r="BB8"/>
      <c r="BC8"/>
      <c r="BD8"/>
      <c r="BE8"/>
      <c r="BF8"/>
      <c r="BG8"/>
      <c r="BH8"/>
      <c r="BI8"/>
      <c r="BJ8"/>
      <c r="BK8"/>
      <c r="BL8"/>
    </row>
    <row r="9" spans="1:64" ht="15">
      <c r="A9" s="62">
        <v>589502</v>
      </c>
      <c r="B9" s="63" t="s">
        <v>48</v>
      </c>
      <c r="C9" s="63" t="s">
        <v>52</v>
      </c>
      <c r="D9" s="64" t="s">
        <v>34</v>
      </c>
      <c r="H9"/>
      <c r="K9" s="129" t="s">
        <v>25</v>
      </c>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row>
    <row r="10" spans="1:64" ht="15">
      <c r="A10" s="62">
        <v>589952</v>
      </c>
      <c r="B10" s="63" t="s">
        <v>48</v>
      </c>
      <c r="C10" s="63" t="s">
        <v>53</v>
      </c>
      <c r="D10" s="64" t="s">
        <v>34</v>
      </c>
      <c r="H10"/>
      <c r="K10" s="150" t="s">
        <v>63</v>
      </c>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row>
    <row r="11" spans="1:64" ht="15">
      <c r="A11" s="62">
        <v>612379</v>
      </c>
      <c r="B11" s="63" t="s">
        <v>48</v>
      </c>
      <c r="C11" s="63" t="s">
        <v>54</v>
      </c>
      <c r="D11" s="64" t="s">
        <v>34</v>
      </c>
      <c r="H11"/>
      <c r="K11" s="151" t="s">
        <v>48</v>
      </c>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row>
    <row r="12" spans="1:64" ht="15">
      <c r="A12" s="62">
        <v>617446</v>
      </c>
      <c r="B12" s="63" t="s">
        <v>55</v>
      </c>
      <c r="C12" s="63" t="s">
        <v>56</v>
      </c>
      <c r="D12" s="64" t="s">
        <v>25</v>
      </c>
      <c r="H12"/>
      <c r="K12" s="150" t="s">
        <v>59</v>
      </c>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row>
    <row r="13" spans="1:64" ht="15">
      <c r="A13" s="62">
        <v>639866</v>
      </c>
      <c r="B13" s="63" t="s">
        <v>48</v>
      </c>
      <c r="C13" s="63" t="s">
        <v>57</v>
      </c>
      <c r="D13" s="64" t="s">
        <v>50</v>
      </c>
      <c r="H13"/>
      <c r="K13" s="151" t="s">
        <v>48</v>
      </c>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row>
    <row r="14" spans="1:64" ht="15">
      <c r="A14" s="62">
        <v>644931</v>
      </c>
      <c r="B14" s="63" t="s">
        <v>48</v>
      </c>
      <c r="C14" s="63" t="s">
        <v>58</v>
      </c>
      <c r="D14" s="64" t="s">
        <v>25</v>
      </c>
      <c r="H14"/>
      <c r="K14" s="150" t="s">
        <v>58</v>
      </c>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row>
    <row r="15" spans="1:64" ht="15">
      <c r="A15" s="62">
        <v>644932</v>
      </c>
      <c r="B15" s="63" t="s">
        <v>48</v>
      </c>
      <c r="C15" s="63" t="s">
        <v>59</v>
      </c>
      <c r="D15" s="64" t="s">
        <v>25</v>
      </c>
      <c r="H15"/>
      <c r="K15" s="151" t="s">
        <v>48</v>
      </c>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row>
    <row r="16" spans="1:64" ht="15">
      <c r="A16" s="62">
        <v>644933</v>
      </c>
      <c r="B16" s="63" t="s">
        <v>48</v>
      </c>
      <c r="C16" s="63" t="s">
        <v>60</v>
      </c>
      <c r="D16" s="64" t="s">
        <v>25</v>
      </c>
      <c r="H16"/>
      <c r="K16" s="150" t="s">
        <v>66</v>
      </c>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row>
    <row r="17" spans="1:64" ht="15">
      <c r="A17" s="62">
        <v>644934</v>
      </c>
      <c r="B17" s="63" t="s">
        <v>48</v>
      </c>
      <c r="C17" s="63" t="s">
        <v>61</v>
      </c>
      <c r="D17" s="64" t="s">
        <v>25</v>
      </c>
      <c r="H17"/>
      <c r="K17" s="151" t="s">
        <v>48</v>
      </c>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row>
    <row r="18" spans="1:64" ht="15">
      <c r="A18" s="62">
        <v>644935</v>
      </c>
      <c r="B18" s="63" t="s">
        <v>48</v>
      </c>
      <c r="C18" s="63" t="s">
        <v>62</v>
      </c>
      <c r="D18" s="64" t="s">
        <v>25</v>
      </c>
      <c r="H18"/>
      <c r="K18" s="150" t="s">
        <v>61</v>
      </c>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row>
    <row r="19" spans="1:64" ht="15">
      <c r="A19" s="62">
        <v>644936</v>
      </c>
      <c r="B19" s="63" t="s">
        <v>48</v>
      </c>
      <c r="C19" s="63" t="s">
        <v>63</v>
      </c>
      <c r="D19" s="64" t="s">
        <v>25</v>
      </c>
      <c r="H19"/>
      <c r="K19" s="151" t="s">
        <v>48</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row>
    <row r="20" spans="1:64" ht="15">
      <c r="A20" s="62">
        <v>644937</v>
      </c>
      <c r="B20" s="63" t="s">
        <v>48</v>
      </c>
      <c r="C20" s="63" t="s">
        <v>64</v>
      </c>
      <c r="D20" s="64" t="s">
        <v>25</v>
      </c>
      <c r="H20"/>
      <c r="K20" s="150" t="s">
        <v>64</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row>
    <row r="21" spans="1:64" ht="15">
      <c r="A21" s="62">
        <v>645124</v>
      </c>
      <c r="B21" s="63" t="s">
        <v>48</v>
      </c>
      <c r="C21" s="63" t="s">
        <v>65</v>
      </c>
      <c r="D21" s="64" t="s">
        <v>25</v>
      </c>
      <c r="H21"/>
      <c r="K21" s="151" t="s">
        <v>48</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row>
    <row r="22" spans="1:64" ht="15">
      <c r="A22" s="62">
        <v>645125</v>
      </c>
      <c r="B22" s="63" t="s">
        <v>48</v>
      </c>
      <c r="C22" s="63" t="s">
        <v>66</v>
      </c>
      <c r="D22" s="64" t="s">
        <v>25</v>
      </c>
      <c r="H22"/>
      <c r="K22" s="150" t="s">
        <v>65</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row>
    <row r="23" spans="1:64" ht="15">
      <c r="A23" s="62">
        <v>728129</v>
      </c>
      <c r="B23" s="63" t="s">
        <v>67</v>
      </c>
      <c r="C23" s="63" t="s">
        <v>68</v>
      </c>
      <c r="D23" s="64" t="s">
        <v>40</v>
      </c>
      <c r="H23"/>
      <c r="K23" s="151" t="s">
        <v>48</v>
      </c>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row>
    <row r="24" spans="1:64" ht="15">
      <c r="A24" s="62">
        <v>728107</v>
      </c>
      <c r="B24" s="63" t="s">
        <v>67</v>
      </c>
      <c r="C24" s="63" t="s">
        <v>69</v>
      </c>
      <c r="D24" s="64" t="s">
        <v>40</v>
      </c>
      <c r="H24"/>
      <c r="K24" s="150" t="s">
        <v>62</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1:64" ht="15">
      <c r="A25" s="62">
        <v>695935</v>
      </c>
      <c r="B25" s="63" t="s">
        <v>55</v>
      </c>
      <c r="C25" s="63" t="s">
        <v>70</v>
      </c>
      <c r="D25" s="64" t="s">
        <v>40</v>
      </c>
      <c r="K25" s="151" t="s">
        <v>48</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row>
    <row r="26" spans="1:64" ht="15">
      <c r="A26" s="62">
        <v>685250</v>
      </c>
      <c r="B26" s="63" t="s">
        <v>48</v>
      </c>
      <c r="C26" s="63" t="s">
        <v>71</v>
      </c>
      <c r="D26" s="64" t="s">
        <v>40</v>
      </c>
      <c r="K26" s="150" t="s">
        <v>60</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row>
    <row r="27" spans="1:64" ht="15">
      <c r="A27" s="62">
        <v>685246</v>
      </c>
      <c r="B27" s="63" t="s">
        <v>48</v>
      </c>
      <c r="C27" s="63" t="s">
        <v>72</v>
      </c>
      <c r="D27" s="64" t="s">
        <v>40</v>
      </c>
      <c r="K27" s="151" t="s">
        <v>48</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row>
    <row r="28" spans="1:64" ht="15">
      <c r="A28" s="62">
        <v>645280</v>
      </c>
      <c r="B28" s="63" t="s">
        <v>48</v>
      </c>
      <c r="C28" s="63" t="s">
        <v>73</v>
      </c>
      <c r="D28" s="64" t="s">
        <v>74</v>
      </c>
      <c r="K28" s="150" t="s">
        <v>56</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row>
    <row r="29" spans="1:64" ht="15">
      <c r="A29" s="62">
        <v>620404</v>
      </c>
      <c r="B29" s="63" t="s">
        <v>48</v>
      </c>
      <c r="C29" s="63" t="s">
        <v>75</v>
      </c>
      <c r="D29" s="64" t="s">
        <v>74</v>
      </c>
      <c r="K29" s="151" t="s">
        <v>55</v>
      </c>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row>
    <row r="30" spans="1:64" ht="15">
      <c r="A30" s="62">
        <v>565761</v>
      </c>
      <c r="B30" s="63" t="s">
        <v>48</v>
      </c>
      <c r="C30" s="63" t="s">
        <v>76</v>
      </c>
      <c r="D30" s="64" t="s">
        <v>74</v>
      </c>
      <c r="K30" s="129" t="s">
        <v>34</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row>
    <row r="31" spans="1:64" ht="15">
      <c r="A31" s="62">
        <v>561808</v>
      </c>
      <c r="B31" s="63" t="s">
        <v>48</v>
      </c>
      <c r="C31" s="63" t="s">
        <v>77</v>
      </c>
      <c r="D31" s="64" t="s">
        <v>74</v>
      </c>
      <c r="K31" s="150" t="s">
        <v>54</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row>
    <row r="32" spans="1:64" ht="15.75" thickBot="1">
      <c r="A32" s="65">
        <v>561803</v>
      </c>
      <c r="B32" s="66" t="s">
        <v>48</v>
      </c>
      <c r="C32" s="66" t="s">
        <v>78</v>
      </c>
      <c r="D32" s="67" t="s">
        <v>74</v>
      </c>
      <c r="K32" s="151" t="s">
        <v>48</v>
      </c>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row>
    <row r="33" spans="11:64" ht="15">
      <c r="K33" s="150" t="s">
        <v>52</v>
      </c>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row>
    <row r="34" spans="11:64" ht="15" hidden="1">
      <c r="K34" s="151" t="s">
        <v>48</v>
      </c>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row>
    <row r="35" spans="11:64" ht="15" hidden="1">
      <c r="K35" s="150" t="s">
        <v>53</v>
      </c>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row>
    <row r="36" spans="11:64" ht="15" hidden="1">
      <c r="K36" s="151" t="s">
        <v>48</v>
      </c>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row>
    <row r="37" spans="11:64" ht="15" hidden="1">
      <c r="K37" s="129" t="s">
        <v>40</v>
      </c>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row>
    <row r="38" spans="11:64" ht="15" hidden="1">
      <c r="K38" s="150" t="s">
        <v>71</v>
      </c>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row>
    <row r="39" spans="11:64" ht="15" hidden="1">
      <c r="K39" s="151" t="s">
        <v>48</v>
      </c>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row>
    <row r="40" spans="11:64" ht="15" hidden="1">
      <c r="K40" s="150" t="s">
        <v>72</v>
      </c>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row>
    <row r="41" spans="11:64" ht="15" hidden="1">
      <c r="K41" s="151" t="s">
        <v>48</v>
      </c>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row>
    <row r="42" spans="11:64" ht="15" hidden="1">
      <c r="K42" s="150" t="s">
        <v>68</v>
      </c>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row>
    <row r="43" spans="11:64" ht="15" hidden="1">
      <c r="K43" s="151" t="s">
        <v>67</v>
      </c>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row>
    <row r="44" spans="11:64" ht="15" hidden="1">
      <c r="K44" s="150" t="s">
        <v>70</v>
      </c>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row>
    <row r="45" spans="11:64" ht="15" hidden="1">
      <c r="K45" s="151" t="s">
        <v>55</v>
      </c>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row>
    <row r="46" spans="11:64" ht="15" hidden="1">
      <c r="K46" s="150" t="s">
        <v>69</v>
      </c>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row>
    <row r="47" spans="11:64" ht="15" hidden="1">
      <c r="K47" s="151" t="s">
        <v>67</v>
      </c>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row>
    <row r="48" spans="11:64" ht="15" hidden="1">
      <c r="K48" s="129" t="s">
        <v>50</v>
      </c>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row>
    <row r="49" spans="11:64" ht="15" hidden="1">
      <c r="K49" s="150" t="s">
        <v>51</v>
      </c>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row>
    <row r="50" spans="11:64" ht="15" hidden="1">
      <c r="K50" s="151" t="s">
        <v>48</v>
      </c>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row>
    <row r="51" spans="11:64" ht="15" hidden="1">
      <c r="K51" s="150" t="s">
        <v>57</v>
      </c>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row>
    <row r="52" spans="11:64" ht="15" hidden="1">
      <c r="K52" s="151" t="s">
        <v>48</v>
      </c>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row>
    <row r="53" spans="11:64" ht="15" hidden="1">
      <c r="K53" s="150" t="s">
        <v>49</v>
      </c>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row>
    <row r="54" spans="11:64" ht="15" hidden="1">
      <c r="K54" s="151" t="s">
        <v>48</v>
      </c>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row>
    <row r="55" spans="11:64" ht="15" hidden="1">
      <c r="K55" s="129" t="s">
        <v>74</v>
      </c>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row>
    <row r="56" spans="11:64" ht="15" hidden="1">
      <c r="K56" s="150" t="s">
        <v>77</v>
      </c>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row>
    <row r="57" spans="11:64" ht="15" hidden="1">
      <c r="K57" s="151" t="s">
        <v>48</v>
      </c>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row>
    <row r="58" spans="11:64" ht="15" hidden="1">
      <c r="K58" s="150" t="s">
        <v>73</v>
      </c>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row>
    <row r="59" spans="11:64" ht="15" hidden="1">
      <c r="K59" s="151" t="s">
        <v>48</v>
      </c>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row>
    <row r="60" spans="11:64" ht="15" hidden="1">
      <c r="K60" s="150" t="s">
        <v>78</v>
      </c>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row>
    <row r="61" spans="11:64" ht="15" hidden="1">
      <c r="K61" s="151" t="s">
        <v>48</v>
      </c>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row>
    <row r="62" spans="11:64" ht="15" hidden="1">
      <c r="K62" s="150" t="s">
        <v>75</v>
      </c>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1:64" ht="15" hidden="1">
      <c r="K63" s="151" t="s">
        <v>48</v>
      </c>
      <c r="L63"/>
      <c r="M63"/>
      <c r="N63"/>
      <c r="O63"/>
      <c r="P63"/>
      <c r="Q63"/>
      <c r="R63"/>
      <c r="S63"/>
      <c r="T63"/>
      <c r="U63"/>
      <c r="V63"/>
      <c r="W63"/>
      <c r="X63"/>
      <c r="Y63"/>
      <c r="Z63"/>
      <c r="AA63"/>
      <c r="AB63"/>
      <c r="AC63"/>
      <c r="AD63"/>
      <c r="AE63"/>
      <c r="AF63"/>
      <c r="AG63"/>
      <c r="AH63"/>
      <c r="AI63"/>
      <c r="AJ63"/>
      <c r="AK63"/>
      <c r="AL63"/>
    </row>
    <row r="64" spans="11:64" ht="15" hidden="1">
      <c r="K64" s="150" t="s">
        <v>76</v>
      </c>
      <c r="L64"/>
      <c r="M64"/>
      <c r="N64"/>
      <c r="O64"/>
      <c r="P64"/>
      <c r="Q64"/>
      <c r="R64"/>
      <c r="S64"/>
      <c r="T64"/>
      <c r="U64"/>
      <c r="V64"/>
      <c r="W64"/>
      <c r="X64"/>
      <c r="Y64"/>
      <c r="Z64"/>
      <c r="AA64"/>
      <c r="AB64"/>
      <c r="AC64"/>
      <c r="AD64"/>
      <c r="AE64"/>
      <c r="AF64"/>
      <c r="AG64"/>
      <c r="AH64"/>
      <c r="AI64"/>
      <c r="AJ64"/>
      <c r="AK64"/>
      <c r="AL64"/>
    </row>
    <row r="65" spans="11:38" ht="15" hidden="1">
      <c r="K65" s="151" t="s">
        <v>48</v>
      </c>
      <c r="L65"/>
      <c r="M65"/>
      <c r="N65"/>
      <c r="O65"/>
      <c r="P65"/>
      <c r="Q65"/>
      <c r="R65"/>
      <c r="S65"/>
      <c r="T65"/>
      <c r="U65"/>
      <c r="V65"/>
      <c r="W65"/>
      <c r="X65"/>
      <c r="Y65"/>
      <c r="Z65"/>
      <c r="AA65"/>
      <c r="AB65"/>
      <c r="AC65"/>
      <c r="AD65"/>
      <c r="AE65"/>
      <c r="AF65"/>
      <c r="AG65"/>
      <c r="AH65"/>
      <c r="AI65"/>
      <c r="AJ65"/>
      <c r="AK65"/>
      <c r="AL65"/>
    </row>
    <row r="66" spans="11:38" ht="15" hidden="1">
      <c r="K66" s="129" t="s">
        <v>98</v>
      </c>
      <c r="L66"/>
      <c r="M66"/>
      <c r="N66"/>
      <c r="O66"/>
      <c r="P66"/>
      <c r="Q66"/>
      <c r="R66"/>
      <c r="S66"/>
      <c r="T66"/>
      <c r="U66"/>
      <c r="V66"/>
      <c r="W66"/>
      <c r="X66"/>
      <c r="Y66"/>
      <c r="Z66"/>
      <c r="AA66"/>
      <c r="AB66"/>
      <c r="AC66"/>
      <c r="AD66"/>
      <c r="AE66"/>
      <c r="AF66"/>
      <c r="AG66"/>
      <c r="AH66"/>
      <c r="AI66"/>
      <c r="AJ66"/>
      <c r="AK66"/>
      <c r="AL66"/>
    </row>
    <row r="67" spans="11:38" ht="15" hidden="1">
      <c r="K67"/>
      <c r="L67"/>
      <c r="M67"/>
      <c r="N67"/>
      <c r="O67"/>
      <c r="P67"/>
      <c r="Q67"/>
      <c r="R67"/>
      <c r="S67"/>
      <c r="T67"/>
      <c r="U67"/>
      <c r="V67"/>
      <c r="W67"/>
      <c r="X67"/>
      <c r="Y67"/>
      <c r="Z67"/>
      <c r="AA67"/>
      <c r="AB67"/>
      <c r="AC67"/>
      <c r="AD67"/>
      <c r="AE67"/>
      <c r="AF67"/>
      <c r="AG67"/>
      <c r="AH67"/>
      <c r="AI67"/>
      <c r="AJ67"/>
      <c r="AK67"/>
      <c r="AL67"/>
    </row>
    <row r="68" spans="11:38" ht="15" hidden="1">
      <c r="K68"/>
      <c r="L68"/>
      <c r="M68"/>
      <c r="N68"/>
      <c r="O68"/>
      <c r="P68"/>
      <c r="Q68"/>
      <c r="R68"/>
      <c r="S68"/>
      <c r="T68"/>
      <c r="U68"/>
      <c r="V68"/>
      <c r="W68"/>
      <c r="X68"/>
      <c r="Y68"/>
      <c r="Z68"/>
      <c r="AA68"/>
      <c r="AB68"/>
      <c r="AC68"/>
      <c r="AD68"/>
      <c r="AE68"/>
      <c r="AF68"/>
      <c r="AG68"/>
      <c r="AH68"/>
      <c r="AI68"/>
      <c r="AJ68"/>
      <c r="AK68"/>
      <c r="AL68"/>
    </row>
    <row r="69" spans="11:38" ht="15" hidden="1">
      <c r="K69"/>
      <c r="L69"/>
      <c r="M69"/>
      <c r="N69"/>
      <c r="O69"/>
      <c r="P69"/>
      <c r="Q69"/>
      <c r="R69"/>
      <c r="S69"/>
      <c r="T69"/>
      <c r="U69"/>
      <c r="V69"/>
      <c r="W69"/>
      <c r="X69"/>
      <c r="Y69"/>
      <c r="Z69"/>
      <c r="AA69"/>
      <c r="AB69"/>
      <c r="AC69"/>
      <c r="AD69"/>
      <c r="AE69"/>
      <c r="AF69"/>
      <c r="AG69"/>
      <c r="AH69"/>
      <c r="AI69"/>
      <c r="AJ69"/>
      <c r="AK69"/>
      <c r="AL69"/>
    </row>
    <row r="70" spans="11:38" ht="15" hidden="1">
      <c r="K70"/>
      <c r="L70"/>
      <c r="M70"/>
      <c r="N70"/>
      <c r="O70"/>
      <c r="P70"/>
      <c r="Q70"/>
      <c r="R70"/>
      <c r="S70"/>
      <c r="T70"/>
      <c r="U70"/>
      <c r="V70"/>
      <c r="W70"/>
      <c r="X70"/>
      <c r="Y70"/>
      <c r="Z70"/>
      <c r="AA70"/>
      <c r="AB70"/>
      <c r="AC70"/>
      <c r="AD70"/>
      <c r="AE70"/>
      <c r="AF70"/>
      <c r="AG70"/>
      <c r="AH70"/>
      <c r="AI70"/>
      <c r="AJ70"/>
      <c r="AK70"/>
      <c r="AL70"/>
    </row>
    <row r="71" spans="11:38" ht="15" hidden="1">
      <c r="K71"/>
      <c r="L71"/>
      <c r="M71"/>
      <c r="N71"/>
      <c r="O71"/>
      <c r="P71"/>
      <c r="Q71"/>
      <c r="R71"/>
      <c r="S71"/>
      <c r="T71"/>
      <c r="U71"/>
      <c r="V71"/>
      <c r="W71"/>
      <c r="X71"/>
      <c r="Y71"/>
      <c r="Z71"/>
      <c r="AA71"/>
      <c r="AB71"/>
      <c r="AC71"/>
      <c r="AD71"/>
      <c r="AE71"/>
      <c r="AF71"/>
      <c r="AG71"/>
      <c r="AH71"/>
      <c r="AI71"/>
      <c r="AJ71"/>
      <c r="AK71"/>
      <c r="AL71"/>
    </row>
    <row r="72" spans="11:38" ht="15" hidden="1">
      <c r="K72"/>
      <c r="L72"/>
      <c r="M72"/>
      <c r="N72"/>
      <c r="O72"/>
      <c r="P72"/>
      <c r="Q72"/>
      <c r="R72"/>
      <c r="S72"/>
      <c r="T72"/>
      <c r="U72"/>
      <c r="V72"/>
      <c r="W72"/>
      <c r="X72"/>
      <c r="Y72"/>
      <c r="Z72"/>
      <c r="AA72"/>
      <c r="AB72"/>
      <c r="AC72"/>
      <c r="AD72"/>
      <c r="AE72"/>
      <c r="AF72"/>
      <c r="AG72"/>
      <c r="AH72"/>
      <c r="AI72"/>
      <c r="AJ72"/>
      <c r="AK72"/>
      <c r="AL72"/>
    </row>
    <row r="73" spans="11:38" ht="15" hidden="1">
      <c r="K73"/>
      <c r="L73"/>
      <c r="M73"/>
      <c r="N73"/>
      <c r="O73"/>
      <c r="P73"/>
      <c r="Q73"/>
      <c r="R73"/>
      <c r="S73"/>
      <c r="T73"/>
      <c r="U73"/>
      <c r="V73"/>
      <c r="W73"/>
      <c r="X73"/>
      <c r="Y73"/>
      <c r="Z73"/>
      <c r="AA73"/>
      <c r="AB73"/>
      <c r="AC73"/>
      <c r="AD73"/>
      <c r="AE73"/>
      <c r="AF73"/>
      <c r="AG73"/>
      <c r="AH73"/>
      <c r="AI73"/>
      <c r="AJ73"/>
      <c r="AK73"/>
      <c r="AL73"/>
    </row>
    <row r="74" spans="11:38" ht="15" hidden="1">
      <c r="K74"/>
      <c r="L74"/>
      <c r="M74"/>
      <c r="N74"/>
      <c r="O74"/>
      <c r="P74"/>
      <c r="Q74"/>
      <c r="R74"/>
      <c r="S74"/>
      <c r="T74"/>
      <c r="U74"/>
      <c r="V74"/>
      <c r="W74"/>
      <c r="X74"/>
      <c r="Y74"/>
      <c r="Z74"/>
      <c r="AA74"/>
      <c r="AB74"/>
      <c r="AC74"/>
      <c r="AD74"/>
      <c r="AE74"/>
      <c r="AF74"/>
      <c r="AG74"/>
      <c r="AH74"/>
      <c r="AI74"/>
      <c r="AJ74"/>
      <c r="AK74"/>
      <c r="AL74"/>
    </row>
    <row r="75" spans="11:38" ht="15" hidden="1">
      <c r="K75"/>
      <c r="L75"/>
      <c r="M75"/>
      <c r="N75"/>
      <c r="O75"/>
      <c r="P75"/>
      <c r="Q75"/>
      <c r="R75"/>
      <c r="S75"/>
      <c r="T75"/>
      <c r="U75"/>
      <c r="V75"/>
      <c r="W75"/>
      <c r="X75"/>
      <c r="Y75"/>
      <c r="Z75"/>
      <c r="AA75"/>
      <c r="AB75"/>
      <c r="AC75"/>
      <c r="AD75"/>
      <c r="AE75"/>
      <c r="AF75"/>
      <c r="AG75"/>
      <c r="AH75"/>
      <c r="AI75"/>
      <c r="AJ75"/>
      <c r="AK75"/>
      <c r="AL75"/>
    </row>
    <row r="76" spans="11:38" ht="15" hidden="1">
      <c r="K76"/>
      <c r="L76"/>
      <c r="M76"/>
      <c r="N76"/>
      <c r="O76"/>
      <c r="P76"/>
      <c r="Q76"/>
      <c r="R76"/>
      <c r="S76"/>
      <c r="T76"/>
      <c r="U76"/>
      <c r="V76"/>
      <c r="W76"/>
      <c r="X76"/>
      <c r="Y76"/>
      <c r="Z76"/>
      <c r="AA76"/>
      <c r="AB76"/>
      <c r="AC76"/>
      <c r="AD76"/>
      <c r="AE76"/>
      <c r="AF76"/>
      <c r="AG76"/>
      <c r="AH76"/>
      <c r="AI76"/>
      <c r="AJ76"/>
      <c r="AK76"/>
      <c r="AL76"/>
    </row>
    <row r="77" spans="11:38" ht="15" hidden="1">
      <c r="K77"/>
      <c r="L77"/>
      <c r="M77"/>
      <c r="N77"/>
      <c r="O77"/>
      <c r="P77"/>
      <c r="Q77"/>
      <c r="R77"/>
      <c r="S77"/>
      <c r="T77"/>
      <c r="U77"/>
      <c r="V77"/>
      <c r="W77"/>
      <c r="X77"/>
      <c r="Y77"/>
      <c r="Z77"/>
      <c r="AA77"/>
      <c r="AB77"/>
      <c r="AC77"/>
      <c r="AD77"/>
      <c r="AE77"/>
      <c r="AF77"/>
      <c r="AG77"/>
      <c r="AH77"/>
      <c r="AI77"/>
      <c r="AJ77"/>
      <c r="AK77"/>
      <c r="AL77"/>
    </row>
    <row r="78" spans="11:38" ht="15" hidden="1">
      <c r="K78"/>
      <c r="L78"/>
      <c r="M78"/>
      <c r="N78"/>
      <c r="O78"/>
      <c r="P78"/>
      <c r="Q78"/>
      <c r="R78"/>
      <c r="S78"/>
      <c r="T78"/>
      <c r="U78"/>
      <c r="V78"/>
      <c r="W78"/>
      <c r="X78"/>
      <c r="Y78"/>
      <c r="Z78"/>
      <c r="AA78"/>
      <c r="AB78"/>
      <c r="AC78"/>
      <c r="AD78"/>
      <c r="AE78"/>
      <c r="AF78"/>
      <c r="AG78"/>
      <c r="AH78"/>
      <c r="AI78"/>
      <c r="AJ78"/>
      <c r="AK78"/>
      <c r="AL78"/>
    </row>
    <row r="79" spans="11:38" ht="15" hidden="1">
      <c r="K79"/>
      <c r="L79"/>
      <c r="M79"/>
      <c r="N79"/>
      <c r="O79"/>
      <c r="P79"/>
      <c r="Q79"/>
      <c r="R79"/>
      <c r="S79"/>
      <c r="T79"/>
      <c r="U79"/>
      <c r="V79"/>
      <c r="W79"/>
      <c r="X79"/>
      <c r="Y79"/>
      <c r="Z79"/>
      <c r="AA79"/>
      <c r="AB79"/>
      <c r="AC79"/>
      <c r="AD79"/>
      <c r="AE79"/>
      <c r="AF79"/>
      <c r="AG79"/>
      <c r="AH79"/>
      <c r="AI79"/>
      <c r="AJ79"/>
      <c r="AK79"/>
      <c r="AL79"/>
    </row>
    <row r="80" spans="11:38" ht="15" hidden="1">
      <c r="K80"/>
      <c r="L80"/>
      <c r="M80"/>
      <c r="N80"/>
      <c r="O80"/>
      <c r="P80"/>
      <c r="Q80"/>
      <c r="R80"/>
      <c r="S80"/>
      <c r="T80"/>
      <c r="U80"/>
      <c r="V80"/>
      <c r="W80"/>
      <c r="X80"/>
      <c r="Y80"/>
      <c r="Z80"/>
      <c r="AA80"/>
      <c r="AB80"/>
      <c r="AC80"/>
      <c r="AD80"/>
      <c r="AE80"/>
      <c r="AF80"/>
      <c r="AG80"/>
      <c r="AH80"/>
      <c r="AI80"/>
      <c r="AJ80"/>
      <c r="AK80"/>
      <c r="AL80"/>
    </row>
    <row r="81" spans="11:38" ht="15" hidden="1">
      <c r="K81"/>
      <c r="L81"/>
      <c r="M81"/>
      <c r="N81"/>
      <c r="O81"/>
      <c r="P81"/>
      <c r="Q81"/>
      <c r="R81"/>
      <c r="S81"/>
      <c r="T81"/>
      <c r="U81"/>
      <c r="V81"/>
      <c r="W81"/>
      <c r="X81"/>
      <c r="Y81"/>
      <c r="Z81"/>
      <c r="AA81"/>
      <c r="AB81"/>
      <c r="AC81"/>
      <c r="AD81"/>
      <c r="AE81"/>
      <c r="AF81"/>
      <c r="AG81"/>
      <c r="AH81"/>
      <c r="AI81"/>
      <c r="AJ81"/>
      <c r="AK81"/>
      <c r="AL81"/>
    </row>
    <row r="82" spans="11:38" ht="15" hidden="1">
      <c r="K82"/>
      <c r="L82"/>
      <c r="M82"/>
      <c r="N82"/>
      <c r="O82"/>
      <c r="P82"/>
      <c r="Q82"/>
      <c r="R82"/>
      <c r="S82"/>
      <c r="T82"/>
      <c r="U82"/>
      <c r="V82"/>
      <c r="W82"/>
      <c r="X82"/>
      <c r="Y82"/>
      <c r="Z82"/>
      <c r="AA82"/>
      <c r="AB82"/>
      <c r="AC82"/>
      <c r="AD82"/>
      <c r="AE82"/>
      <c r="AF82"/>
      <c r="AG82"/>
      <c r="AH82"/>
      <c r="AI82"/>
      <c r="AJ82"/>
      <c r="AK82"/>
      <c r="AL82"/>
    </row>
    <row r="83" spans="11:38" ht="15" hidden="1">
      <c r="K83"/>
      <c r="L83"/>
      <c r="M83"/>
      <c r="N83"/>
      <c r="O83"/>
      <c r="P83"/>
      <c r="Q83"/>
      <c r="R83"/>
      <c r="S83"/>
      <c r="T83"/>
      <c r="U83"/>
      <c r="V83"/>
      <c r="W83"/>
      <c r="X83"/>
      <c r="Y83"/>
      <c r="Z83"/>
      <c r="AA83"/>
      <c r="AB83"/>
      <c r="AC83"/>
      <c r="AD83"/>
      <c r="AE83"/>
      <c r="AF83"/>
      <c r="AG83"/>
      <c r="AH83"/>
      <c r="AI83"/>
      <c r="AJ83"/>
      <c r="AK83"/>
      <c r="AL83"/>
    </row>
    <row r="84" spans="11:38" ht="15" hidden="1">
      <c r="K84"/>
      <c r="L84"/>
      <c r="M84"/>
      <c r="N84"/>
      <c r="O84"/>
      <c r="P84"/>
      <c r="Q84"/>
      <c r="R84"/>
      <c r="S84"/>
      <c r="T84"/>
      <c r="U84"/>
      <c r="V84"/>
      <c r="W84"/>
      <c r="X84"/>
      <c r="Y84"/>
      <c r="Z84"/>
      <c r="AA84"/>
      <c r="AB84"/>
      <c r="AC84"/>
      <c r="AD84"/>
      <c r="AE84"/>
      <c r="AF84"/>
      <c r="AG84"/>
      <c r="AH84"/>
      <c r="AI84"/>
      <c r="AJ84"/>
      <c r="AK84"/>
      <c r="AL84"/>
    </row>
    <row r="85" spans="11:38" ht="15" hidden="1">
      <c r="K85"/>
      <c r="L85"/>
      <c r="M85"/>
      <c r="N85"/>
      <c r="O85"/>
      <c r="P85"/>
      <c r="Q85"/>
      <c r="R85"/>
      <c r="S85"/>
      <c r="T85"/>
      <c r="U85"/>
      <c r="V85"/>
      <c r="W85"/>
      <c r="X85"/>
      <c r="Y85"/>
      <c r="Z85"/>
      <c r="AA85"/>
      <c r="AB85"/>
      <c r="AC85"/>
      <c r="AD85"/>
      <c r="AE85"/>
      <c r="AF85"/>
      <c r="AG85"/>
      <c r="AH85"/>
      <c r="AI85"/>
      <c r="AJ85"/>
      <c r="AK85"/>
      <c r="AL85"/>
    </row>
    <row r="86" spans="11:38" ht="15" hidden="1">
      <c r="K86"/>
      <c r="L86"/>
      <c r="M86"/>
      <c r="N86"/>
      <c r="O86"/>
      <c r="P86"/>
      <c r="Q86"/>
      <c r="R86"/>
      <c r="S86"/>
      <c r="T86"/>
      <c r="U86"/>
      <c r="V86"/>
      <c r="W86"/>
      <c r="X86"/>
      <c r="Y86"/>
      <c r="Z86"/>
      <c r="AA86"/>
      <c r="AB86"/>
      <c r="AC86"/>
      <c r="AD86"/>
      <c r="AE86"/>
      <c r="AF86"/>
      <c r="AG86"/>
      <c r="AH86"/>
      <c r="AI86"/>
      <c r="AJ86"/>
      <c r="AK86"/>
      <c r="AL86"/>
    </row>
    <row r="87" spans="11:38" ht="15" hidden="1">
      <c r="K87"/>
      <c r="L87"/>
      <c r="M87"/>
      <c r="N87"/>
      <c r="O87"/>
      <c r="P87"/>
      <c r="Q87"/>
      <c r="R87"/>
      <c r="S87"/>
      <c r="T87"/>
      <c r="U87"/>
      <c r="V87"/>
      <c r="W87"/>
      <c r="X87"/>
      <c r="Y87"/>
      <c r="Z87"/>
      <c r="AA87"/>
      <c r="AB87"/>
      <c r="AC87"/>
      <c r="AD87"/>
      <c r="AE87"/>
      <c r="AF87"/>
      <c r="AG87"/>
      <c r="AH87"/>
      <c r="AI87"/>
      <c r="AJ87"/>
      <c r="AK87"/>
      <c r="AL87"/>
    </row>
  </sheetData>
  <sheetProtection formatCells="0" formatColumns="0" formatRows="0" sort="0" autoFilter="0" pivotTables="0"/>
  <hyperlinks>
    <hyperlink ref="A1" location="'Question Paper for Excel'!A1" display="Home"/>
    <hyperlink ref="B1" location="'Question 12'!A1" display="Next Question"/>
    <hyperlink ref="C1" location="'Question 10'!A1" display="Previous Question"/>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15"/>
  <dimension ref="A1:H24"/>
  <sheetViews>
    <sheetView showGridLines="0" tabSelected="1" workbookViewId="0">
      <selection activeCell="H9" sqref="H9"/>
    </sheetView>
  </sheetViews>
  <sheetFormatPr defaultColWidth="9.140625" defaultRowHeight="12.75"/>
  <cols>
    <col min="1" max="1" width="19.42578125" style="1" bestFit="1" customWidth="1"/>
    <col min="2" max="2" width="13.85546875" style="1" bestFit="1" customWidth="1"/>
    <col min="3" max="3" width="16.140625" style="1" bestFit="1" customWidth="1"/>
    <col min="4" max="4" width="9.140625" style="1"/>
    <col min="5" max="5" width="17.42578125" style="1" bestFit="1" customWidth="1"/>
    <col min="6" max="6" width="22.42578125" style="1" bestFit="1" customWidth="1"/>
    <col min="7" max="7" width="19.42578125" style="1" bestFit="1" customWidth="1"/>
    <col min="8" max="8" width="12.85546875" style="1" customWidth="1"/>
    <col min="9" max="16384" width="9.140625" style="1"/>
  </cols>
  <sheetData>
    <row r="1" spans="1:8" ht="15.75">
      <c r="A1" s="19" t="s">
        <v>18</v>
      </c>
      <c r="B1" s="20" t="s">
        <v>19</v>
      </c>
      <c r="C1" s="52" t="s">
        <v>43</v>
      </c>
    </row>
    <row r="3" spans="1:8">
      <c r="A3" s="68" t="s">
        <v>44</v>
      </c>
      <c r="B3" s="12" t="s">
        <v>130</v>
      </c>
    </row>
    <row r="4" spans="1:8">
      <c r="A4" s="68"/>
    </row>
    <row r="5" spans="1:8" ht="13.5" thickBot="1">
      <c r="A5" s="68"/>
    </row>
    <row r="6" spans="1:8" ht="13.5" thickBot="1">
      <c r="A6" s="21" t="s">
        <v>23</v>
      </c>
      <c r="B6" s="23" t="s">
        <v>131</v>
      </c>
    </row>
    <row r="7" spans="1:8" ht="13.5" thickBot="1">
      <c r="A7" s="69" t="s">
        <v>25</v>
      </c>
      <c r="B7" s="70">
        <v>10</v>
      </c>
    </row>
    <row r="8" spans="1:8" ht="13.5" thickBot="1">
      <c r="A8" s="71" t="s">
        <v>40</v>
      </c>
      <c r="B8" s="72">
        <v>11</v>
      </c>
      <c r="E8" s="73" t="s">
        <v>21</v>
      </c>
      <c r="F8" s="74" t="s">
        <v>22</v>
      </c>
      <c r="G8" s="51" t="s">
        <v>23</v>
      </c>
      <c r="H8" s="75" t="s">
        <v>131</v>
      </c>
    </row>
    <row r="9" spans="1:8" ht="13.5" thickBot="1">
      <c r="A9" s="71" t="s">
        <v>132</v>
      </c>
      <c r="B9" s="72" t="s">
        <v>133</v>
      </c>
      <c r="E9" s="76">
        <v>728107</v>
      </c>
      <c r="F9" s="63" t="s">
        <v>69</v>
      </c>
      <c r="G9" s="64" t="s">
        <v>40</v>
      </c>
      <c r="H9" s="125" t="e">
        <f>IF(A7:B7,G9:G24,0)</f>
        <v>#VALUE!</v>
      </c>
    </row>
    <row r="10" spans="1:8">
      <c r="E10" s="76">
        <v>617446</v>
      </c>
      <c r="F10" s="63" t="s">
        <v>56</v>
      </c>
      <c r="G10" s="64" t="s">
        <v>25</v>
      </c>
      <c r="H10" s="125"/>
    </row>
    <row r="11" spans="1:8">
      <c r="E11" s="76">
        <v>695935</v>
      </c>
      <c r="F11" s="63" t="s">
        <v>70</v>
      </c>
      <c r="G11" s="64" t="s">
        <v>40</v>
      </c>
      <c r="H11" s="125"/>
    </row>
    <row r="12" spans="1:8">
      <c r="E12" s="76">
        <v>644933</v>
      </c>
      <c r="F12" s="63" t="s">
        <v>60</v>
      </c>
      <c r="G12" s="64" t="s">
        <v>25</v>
      </c>
      <c r="H12" s="125"/>
    </row>
    <row r="13" spans="1:8">
      <c r="E13" s="76">
        <v>728129</v>
      </c>
      <c r="F13" s="63" t="s">
        <v>68</v>
      </c>
      <c r="G13" s="64" t="s">
        <v>40</v>
      </c>
      <c r="H13" s="125"/>
    </row>
    <row r="14" spans="1:8">
      <c r="E14" s="76">
        <v>644935</v>
      </c>
      <c r="F14" s="63" t="s">
        <v>62</v>
      </c>
      <c r="G14" s="64" t="s">
        <v>25</v>
      </c>
      <c r="H14" s="125"/>
    </row>
    <row r="15" spans="1:8">
      <c r="E15" s="76">
        <v>645124</v>
      </c>
      <c r="F15" s="63" t="s">
        <v>65</v>
      </c>
      <c r="G15" s="64" t="s">
        <v>25</v>
      </c>
      <c r="H15" s="125"/>
    </row>
    <row r="16" spans="1:8">
      <c r="E16" s="76">
        <v>644937</v>
      </c>
      <c r="F16" s="63" t="s">
        <v>64</v>
      </c>
      <c r="G16" s="64" t="s">
        <v>25</v>
      </c>
      <c r="H16" s="125"/>
    </row>
    <row r="17" spans="5:8">
      <c r="E17" s="76">
        <v>644934</v>
      </c>
      <c r="F17" s="63" t="s">
        <v>61</v>
      </c>
      <c r="G17" s="64" t="s">
        <v>25</v>
      </c>
      <c r="H17" s="125"/>
    </row>
    <row r="18" spans="5:8">
      <c r="E18" s="76">
        <v>685246</v>
      </c>
      <c r="F18" s="63" t="s">
        <v>72</v>
      </c>
      <c r="G18" s="64" t="s">
        <v>40</v>
      </c>
      <c r="H18" s="125"/>
    </row>
    <row r="19" spans="5:8">
      <c r="E19" s="76">
        <v>685250</v>
      </c>
      <c r="F19" s="63" t="s">
        <v>71</v>
      </c>
      <c r="G19" s="64" t="s">
        <v>40</v>
      </c>
      <c r="H19" s="125"/>
    </row>
    <row r="20" spans="5:8">
      <c r="E20" s="76">
        <v>645125</v>
      </c>
      <c r="F20" s="63" t="s">
        <v>66</v>
      </c>
      <c r="G20" s="64" t="s">
        <v>25</v>
      </c>
      <c r="H20" s="125"/>
    </row>
    <row r="21" spans="5:8">
      <c r="E21" s="76">
        <v>644931</v>
      </c>
      <c r="F21" s="63" t="s">
        <v>58</v>
      </c>
      <c r="G21" s="64" t="s">
        <v>25</v>
      </c>
      <c r="H21" s="125"/>
    </row>
    <row r="22" spans="5:8">
      <c r="E22" s="76">
        <v>644932</v>
      </c>
      <c r="F22" s="63" t="s">
        <v>59</v>
      </c>
      <c r="G22" s="64" t="s">
        <v>25</v>
      </c>
      <c r="H22" s="125"/>
    </row>
    <row r="23" spans="5:8" ht="13.5" thickBot="1">
      <c r="E23" s="77">
        <v>644936</v>
      </c>
      <c r="F23" s="66" t="s">
        <v>63</v>
      </c>
      <c r="G23" s="67" t="s">
        <v>25</v>
      </c>
      <c r="H23" s="125"/>
    </row>
    <row r="24" spans="5:8" ht="13.5" thickBot="1">
      <c r="E24" s="77">
        <v>665373</v>
      </c>
      <c r="F24" s="78" t="s">
        <v>134</v>
      </c>
      <c r="G24" s="79" t="s">
        <v>132</v>
      </c>
      <c r="H24" s="125"/>
    </row>
  </sheetData>
  <hyperlinks>
    <hyperlink ref="A1" location="'Question Paper for Excel'!A1" display="Home"/>
    <hyperlink ref="B1" location="'Question 13'!A1" display="Next Question"/>
    <hyperlink ref="C1" location="'Question 11'!A1" display="Previous Question"/>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sheetPr codeName="Sheet14"/>
  <dimension ref="A1:G31"/>
  <sheetViews>
    <sheetView showGridLines="0" workbookViewId="0">
      <selection activeCell="G3" sqref="G3"/>
    </sheetView>
  </sheetViews>
  <sheetFormatPr defaultColWidth="9.140625" defaultRowHeight="12.75"/>
  <cols>
    <col min="1" max="1" width="9" style="1" bestFit="1" customWidth="1"/>
    <col min="2" max="2" width="16.7109375" style="1" customWidth="1"/>
    <col min="3" max="3" width="16.140625" style="1" bestFit="1" customWidth="1"/>
    <col min="4" max="4" width="14.7109375" style="1" customWidth="1"/>
    <col min="5" max="5" width="19.5703125" style="1" customWidth="1"/>
    <col min="6" max="6" width="12.42578125" style="1" bestFit="1" customWidth="1"/>
    <col min="7" max="7" width="15.7109375" style="1" bestFit="1" customWidth="1"/>
    <col min="8" max="16384" width="9.140625" style="1"/>
  </cols>
  <sheetData>
    <row r="1" spans="1:7" ht="15.75">
      <c r="A1" s="19" t="s">
        <v>18</v>
      </c>
      <c r="B1" s="20" t="s">
        <v>19</v>
      </c>
      <c r="C1" s="52" t="s">
        <v>43</v>
      </c>
      <c r="F1" s="57" t="s">
        <v>135</v>
      </c>
      <c r="G1" s="57" t="s">
        <v>136</v>
      </c>
    </row>
    <row r="2" spans="1:7">
      <c r="F2" s="37">
        <v>1.1450979999999999</v>
      </c>
      <c r="G2" s="126" t="s">
        <v>226</v>
      </c>
    </row>
    <row r="3" spans="1:7">
      <c r="A3" s="12" t="s">
        <v>137</v>
      </c>
      <c r="F3" s="37">
        <v>0.98039209999999999</v>
      </c>
      <c r="G3" s="126"/>
    </row>
    <row r="4" spans="1:7">
      <c r="F4" s="37">
        <v>1.3745098</v>
      </c>
      <c r="G4" s="126"/>
    </row>
    <row r="5" spans="1:7">
      <c r="A5" s="12" t="s">
        <v>138</v>
      </c>
      <c r="F5" s="37">
        <v>1.1352941000000001</v>
      </c>
      <c r="G5" s="126"/>
    </row>
    <row r="6" spans="1:7">
      <c r="F6" s="37">
        <v>0.96274499999999996</v>
      </c>
      <c r="G6" s="126"/>
    </row>
    <row r="7" spans="1:7">
      <c r="F7" s="37">
        <v>0.6039215</v>
      </c>
      <c r="G7" s="126"/>
    </row>
    <row r="8" spans="1:7">
      <c r="F8" s="37">
        <v>0.77450980000000003</v>
      </c>
      <c r="G8" s="126"/>
    </row>
    <row r="9" spans="1:7">
      <c r="F9" s="37">
        <v>0.98627450000000005</v>
      </c>
      <c r="G9" s="126"/>
    </row>
    <row r="10" spans="1:7">
      <c r="F10" s="37">
        <v>0.14117640000000001</v>
      </c>
      <c r="G10" s="126"/>
    </row>
    <row r="11" spans="1:7">
      <c r="F11" s="37">
        <v>1.0254901000000001</v>
      </c>
      <c r="G11" s="126"/>
    </row>
    <row r="12" spans="1:7">
      <c r="F12" s="37">
        <v>0.1803921</v>
      </c>
      <c r="G12" s="126"/>
    </row>
    <row r="13" spans="1:7">
      <c r="F13" s="37">
        <v>1.0333333</v>
      </c>
      <c r="G13" s="126"/>
    </row>
    <row r="14" spans="1:7">
      <c r="F14" s="37">
        <v>0.145098</v>
      </c>
      <c r="G14" s="126"/>
    </row>
    <row r="15" spans="1:7">
      <c r="F15" s="37">
        <v>0.90588230000000003</v>
      </c>
      <c r="G15" s="126"/>
    </row>
    <row r="16" spans="1:7">
      <c r="F16" s="37">
        <v>1.1000000000000001</v>
      </c>
      <c r="G16" s="126"/>
    </row>
    <row r="17" spans="6:7">
      <c r="F17" s="37">
        <v>0.56274500000000005</v>
      </c>
      <c r="G17" s="126"/>
    </row>
    <row r="18" spans="6:7">
      <c r="F18" s="37">
        <v>0.39215680000000003</v>
      </c>
      <c r="G18" s="126"/>
    </row>
    <row r="19" spans="6:7">
      <c r="F19" s="37">
        <v>1.1058823</v>
      </c>
      <c r="G19" s="126"/>
    </row>
    <row r="20" spans="6:7">
      <c r="F20" s="37">
        <v>1.3039215</v>
      </c>
      <c r="G20" s="126"/>
    </row>
    <row r="21" spans="6:7">
      <c r="F21" s="37">
        <v>1.0764705000000001</v>
      </c>
      <c r="G21" s="126"/>
    </row>
    <row r="22" spans="6:7">
      <c r="F22" s="37">
        <v>1.1313724999999999</v>
      </c>
      <c r="G22" s="126"/>
    </row>
    <row r="23" spans="6:7">
      <c r="F23" s="37">
        <v>0.92549009999999998</v>
      </c>
      <c r="G23" s="126"/>
    </row>
    <row r="24" spans="6:7">
      <c r="F24" s="37">
        <v>1.1490195999999999</v>
      </c>
      <c r="G24" s="126"/>
    </row>
    <row r="25" spans="6:7">
      <c r="F25" s="37">
        <v>1.0137254</v>
      </c>
      <c r="G25" s="126"/>
    </row>
    <row r="26" spans="6:7">
      <c r="F26" s="37">
        <v>1.0156862</v>
      </c>
      <c r="G26" s="126"/>
    </row>
    <row r="27" spans="6:7">
      <c r="F27" s="37">
        <v>0.99607840000000003</v>
      </c>
      <c r="G27" s="126"/>
    </row>
    <row r="28" spans="6:7">
      <c r="F28" s="37">
        <v>1.0372549</v>
      </c>
      <c r="G28" s="126"/>
    </row>
    <row r="29" spans="6:7">
      <c r="F29" s="37">
        <v>1.1784313</v>
      </c>
      <c r="G29" s="126"/>
    </row>
    <row r="30" spans="6:7">
      <c r="F30" s="37">
        <v>1.1352941000000001</v>
      </c>
      <c r="G30" s="126"/>
    </row>
    <row r="31" spans="6:7">
      <c r="F31" s="37">
        <v>1.1196078</v>
      </c>
      <c r="G31" s="126"/>
    </row>
  </sheetData>
  <hyperlinks>
    <hyperlink ref="A1" location="'Question Paper for Excel'!A1" display="Home"/>
    <hyperlink ref="B1" location="'Question 14'!A1" display="Next Question"/>
    <hyperlink ref="C1" location="'Question 12'!A1" display="Previous Question"/>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sheetPr codeName="Sheet18"/>
  <dimension ref="A1:K32"/>
  <sheetViews>
    <sheetView showGridLines="0" showRowColHeaders="0" topLeftCell="A6" workbookViewId="0">
      <selection activeCell="C7" sqref="C7"/>
    </sheetView>
  </sheetViews>
  <sheetFormatPr defaultColWidth="9.140625" defaultRowHeight="12.75"/>
  <cols>
    <col min="1" max="1" width="9.5703125" style="1" bestFit="1" customWidth="1"/>
    <col min="2" max="2" width="13.85546875" style="1" bestFit="1" customWidth="1"/>
    <col min="3" max="3" width="17.7109375" style="1" bestFit="1" customWidth="1"/>
    <col min="4" max="9" width="9.140625" style="1"/>
    <col min="10" max="10" width="12.42578125" style="1" bestFit="1" customWidth="1"/>
    <col min="11" max="16384" width="9.140625" style="1"/>
  </cols>
  <sheetData>
    <row r="1" spans="1:11" ht="15.75">
      <c r="A1" s="19" t="s">
        <v>18</v>
      </c>
      <c r="B1" s="20" t="s">
        <v>19</v>
      </c>
      <c r="C1" s="20" t="s">
        <v>43</v>
      </c>
    </row>
    <row r="2" spans="1:11">
      <c r="J2" s="57" t="s">
        <v>135</v>
      </c>
    </row>
    <row r="3" spans="1:11">
      <c r="A3" s="12" t="s">
        <v>139</v>
      </c>
      <c r="B3" s="12" t="s">
        <v>140</v>
      </c>
      <c r="I3" s="80"/>
      <c r="J3" s="81">
        <v>99.623525999999998</v>
      </c>
      <c r="K3" s="82"/>
    </row>
    <row r="4" spans="1:11">
      <c r="J4" s="81">
        <v>83.333328499999993</v>
      </c>
      <c r="K4" s="82"/>
    </row>
    <row r="5" spans="1:11">
      <c r="C5" s="80"/>
      <c r="J5" s="81">
        <v>86.594117400000002</v>
      </c>
      <c r="K5" s="82"/>
    </row>
    <row r="6" spans="1:11" ht="13.5" thickBot="1">
      <c r="A6" s="12" t="s">
        <v>141</v>
      </c>
      <c r="J6" s="81">
        <v>63.576469600000003</v>
      </c>
      <c r="K6" s="82"/>
    </row>
    <row r="7" spans="1:11" ht="13.5" thickBot="1">
      <c r="B7" s="83" t="s">
        <v>142</v>
      </c>
      <c r="C7" s="127">
        <f>MAX(J3:J32)</f>
        <v>106.57057950000001</v>
      </c>
      <c r="J7" s="81">
        <v>77.019599999999997</v>
      </c>
      <c r="K7" s="82"/>
    </row>
    <row r="8" spans="1:11" ht="13.5" thickBot="1">
      <c r="B8" s="83" t="s">
        <v>143</v>
      </c>
      <c r="C8" s="127">
        <f>MIN(J3:J32)</f>
        <v>9.1764660000000013</v>
      </c>
      <c r="J8" s="81">
        <v>45.898034000000003</v>
      </c>
      <c r="K8" s="82"/>
    </row>
    <row r="9" spans="1:11" ht="13.5" thickBot="1">
      <c r="B9" s="84" t="s">
        <v>144</v>
      </c>
      <c r="C9" s="127">
        <f>MIN(J3:J32)</f>
        <v>9.1764660000000013</v>
      </c>
      <c r="J9" s="81">
        <v>51.117646800000003</v>
      </c>
      <c r="K9" s="82"/>
    </row>
    <row r="10" spans="1:11">
      <c r="J10" s="81">
        <v>69.039214999999999</v>
      </c>
      <c r="K10" s="82"/>
    </row>
    <row r="11" spans="1:11">
      <c r="J11" s="81">
        <v>9.1764660000000013</v>
      </c>
      <c r="K11" s="82"/>
    </row>
    <row r="12" spans="1:11">
      <c r="J12" s="81">
        <v>78.962737700000005</v>
      </c>
      <c r="K12" s="82"/>
    </row>
    <row r="13" spans="1:11">
      <c r="J13" s="81">
        <v>12.627447</v>
      </c>
      <c r="K13" s="82"/>
    </row>
    <row r="14" spans="1:11">
      <c r="J14" s="81">
        <v>58.899998099999998</v>
      </c>
      <c r="K14" s="82"/>
    </row>
    <row r="15" spans="1:11">
      <c r="J15" s="81">
        <v>9.721566000000001</v>
      </c>
      <c r="K15" s="82"/>
    </row>
    <row r="16" spans="1:11">
      <c r="J16" s="81">
        <v>46.1999973</v>
      </c>
      <c r="K16" s="82"/>
    </row>
    <row r="17" spans="10:11">
      <c r="J17" s="81">
        <v>92.4</v>
      </c>
      <c r="K17" s="82"/>
    </row>
    <row r="18" spans="10:11">
      <c r="J18" s="81">
        <v>50.084305000000008</v>
      </c>
      <c r="K18" s="82"/>
    </row>
    <row r="19" spans="10:11">
      <c r="J19" s="81">
        <v>25.490192</v>
      </c>
      <c r="K19" s="82"/>
    </row>
    <row r="20" spans="10:11">
      <c r="J20" s="81">
        <v>63.035291100000002</v>
      </c>
      <c r="K20" s="82"/>
    </row>
    <row r="21" spans="10:11">
      <c r="J21" s="81">
        <v>101.705877</v>
      </c>
      <c r="K21" s="82"/>
    </row>
    <row r="22" spans="10:11">
      <c r="J22" s="81">
        <v>106.57057950000001</v>
      </c>
      <c r="K22" s="82"/>
    </row>
    <row r="23" spans="10:11">
      <c r="J23" s="81">
        <v>58.831369999999993</v>
      </c>
      <c r="K23" s="82"/>
    </row>
    <row r="24" spans="10:11">
      <c r="J24" s="81">
        <v>60.156856499999996</v>
      </c>
      <c r="K24" s="82"/>
    </row>
    <row r="25" spans="10:11">
      <c r="J25" s="81">
        <v>88.4745092</v>
      </c>
      <c r="K25" s="82"/>
    </row>
    <row r="26" spans="10:11">
      <c r="J26" s="81">
        <v>82.111757400000002</v>
      </c>
      <c r="K26" s="82"/>
    </row>
    <row r="27" spans="10:11">
      <c r="J27" s="81">
        <v>68.050975399999999</v>
      </c>
      <c r="K27" s="82"/>
    </row>
    <row r="28" spans="10:11">
      <c r="J28" s="81">
        <v>56.776468800000004</v>
      </c>
      <c r="K28" s="82"/>
    </row>
    <row r="29" spans="10:11">
      <c r="J29" s="81">
        <v>79.8686273</v>
      </c>
      <c r="K29" s="82"/>
    </row>
    <row r="30" spans="10:11">
      <c r="J30" s="81">
        <v>89.560778799999994</v>
      </c>
      <c r="K30" s="82"/>
    </row>
    <row r="31" spans="10:11">
      <c r="J31" s="81">
        <v>84.011763400000007</v>
      </c>
      <c r="K31" s="82"/>
    </row>
    <row r="32" spans="10:11">
      <c r="J32" s="81">
        <v>86.209800600000008</v>
      </c>
      <c r="K32" s="82"/>
    </row>
  </sheetData>
  <hyperlinks>
    <hyperlink ref="A1" location="'Question Paper for Excel'!A1" display="Home"/>
    <hyperlink ref="B1" location="'Question 15'!A1" display="Next Question"/>
    <hyperlink ref="C1" location="'Question 13'!A1" display="Previous Question"/>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sheetPr codeName="Sheet19"/>
  <dimension ref="A1:K6"/>
  <sheetViews>
    <sheetView showGridLines="0" workbookViewId="0">
      <selection activeCell="B9" sqref="B9"/>
    </sheetView>
  </sheetViews>
  <sheetFormatPr defaultColWidth="9.140625" defaultRowHeight="12.75"/>
  <cols>
    <col min="1" max="1" width="9" style="1" bestFit="1" customWidth="1"/>
    <col min="2" max="2" width="17.7109375" style="1" bestFit="1" customWidth="1"/>
    <col min="3" max="16384" width="9.140625" style="1"/>
  </cols>
  <sheetData>
    <row r="1" spans="1:11" ht="15.75">
      <c r="A1" s="19" t="s">
        <v>18</v>
      </c>
      <c r="B1" s="52" t="s">
        <v>19</v>
      </c>
      <c r="C1" s="52" t="s">
        <v>43</v>
      </c>
    </row>
    <row r="3" spans="1:11">
      <c r="K3" s="85"/>
    </row>
    <row r="6" spans="1:11">
      <c r="A6" s="12" t="s">
        <v>44</v>
      </c>
      <c r="B6" s="12" t="s">
        <v>145</v>
      </c>
    </row>
  </sheetData>
  <hyperlinks>
    <hyperlink ref="A1" location="'Question Paper for Excel'!A1" display="Home"/>
    <hyperlink ref="B1" location="'Question 16'!A1" display="Next Question"/>
    <hyperlink ref="C1" location="'Question 14'!A1" display="Previous Question"/>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sheetPr codeName="Sheet21"/>
  <dimension ref="A1:K17"/>
  <sheetViews>
    <sheetView showGridLines="0" topLeftCell="A2" workbookViewId="0">
      <selection activeCell="A29" sqref="A29"/>
    </sheetView>
  </sheetViews>
  <sheetFormatPr defaultColWidth="9.140625" defaultRowHeight="12.75"/>
  <cols>
    <col min="1" max="1" width="9" style="1" bestFit="1" customWidth="1"/>
    <col min="2" max="2" width="17.7109375" style="1" bestFit="1" customWidth="1"/>
    <col min="3" max="16384" width="9.140625" style="1"/>
  </cols>
  <sheetData>
    <row r="1" spans="1:11" ht="15.75">
      <c r="A1" s="19" t="s">
        <v>18</v>
      </c>
      <c r="B1" s="52" t="s">
        <v>19</v>
      </c>
      <c r="C1" s="52" t="s">
        <v>43</v>
      </c>
    </row>
    <row r="3" spans="1:11">
      <c r="K3" s="85"/>
    </row>
    <row r="6" spans="1:11" ht="12.75" customHeight="1">
      <c r="A6" s="12" t="s">
        <v>147</v>
      </c>
      <c r="B6" s="87" t="s">
        <v>146</v>
      </c>
      <c r="I6" s="12" t="s">
        <v>155</v>
      </c>
    </row>
    <row r="7" spans="1:11" ht="12.75" customHeight="1">
      <c r="A7" s="12"/>
      <c r="B7" s="87"/>
      <c r="I7" s="12"/>
    </row>
    <row r="8" spans="1:11" ht="12.75" customHeight="1">
      <c r="A8" s="12"/>
      <c r="B8" s="87"/>
      <c r="I8" s="12"/>
    </row>
    <row r="9" spans="1:11" ht="12.75" customHeight="1">
      <c r="B9" s="86"/>
      <c r="C9" s="93" t="s">
        <v>154</v>
      </c>
      <c r="D9" s="94"/>
    </row>
    <row r="10" spans="1:11" ht="12.75" customHeight="1">
      <c r="B10" s="86"/>
      <c r="C10" s="92"/>
    </row>
    <row r="11" spans="1:11" ht="12.75" customHeight="1">
      <c r="B11" s="86"/>
      <c r="C11" s="92"/>
    </row>
    <row r="12" spans="1:11" ht="15">
      <c r="B12" s="98" t="s">
        <v>157</v>
      </c>
      <c r="C12" s="90" t="s">
        <v>148</v>
      </c>
      <c r="D12" s="98" t="s">
        <v>159</v>
      </c>
      <c r="E12" s="91" t="s">
        <v>149</v>
      </c>
    </row>
    <row r="13" spans="1:11" ht="15">
      <c r="B13" s="95" t="s">
        <v>158</v>
      </c>
      <c r="C13" s="90" t="s">
        <v>150</v>
      </c>
      <c r="D13" s="98" t="s">
        <v>160</v>
      </c>
      <c r="E13" s="91" t="s">
        <v>151</v>
      </c>
    </row>
    <row r="14" spans="1:11" ht="15">
      <c r="B14" s="95" t="s">
        <v>161</v>
      </c>
      <c r="C14" s="90" t="s">
        <v>152</v>
      </c>
      <c r="D14"/>
      <c r="E14"/>
    </row>
    <row r="17" spans="1:2">
      <c r="A17" s="88" t="s">
        <v>153</v>
      </c>
      <c r="B17" s="89"/>
    </row>
  </sheetData>
  <hyperlinks>
    <hyperlink ref="A1" location="'Question Paper for Excel'!A1" display="Home"/>
    <hyperlink ref="D12" r:id="rId1" display="javascript: void 0;"/>
    <hyperlink ref="D13" r:id="rId2" display="javascript: void 0;"/>
    <hyperlink ref="B1" location="'Question 17'!A1" display="Next Question"/>
    <hyperlink ref="C1" location="'Question 15'!A1" display="Previous Question"/>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sheetPr codeName="Sheet22"/>
  <dimension ref="A1:S13"/>
  <sheetViews>
    <sheetView showGridLines="0" workbookViewId="0">
      <selection activeCell="B13" sqref="B13"/>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147</v>
      </c>
      <c r="B6" s="139" t="s">
        <v>156</v>
      </c>
      <c r="C6" s="139"/>
      <c r="D6" s="139"/>
      <c r="E6" s="139"/>
      <c r="F6" s="139"/>
      <c r="G6" s="139"/>
      <c r="H6" s="139"/>
      <c r="I6" s="139"/>
      <c r="J6" s="139"/>
      <c r="K6" s="139"/>
      <c r="L6" s="139"/>
      <c r="M6" s="139"/>
      <c r="N6" s="139"/>
      <c r="O6" s="139"/>
      <c r="P6" s="139"/>
      <c r="Q6" s="139"/>
      <c r="R6" s="139"/>
      <c r="S6" s="139"/>
    </row>
    <row r="7" spans="1:19" ht="12.75" customHeight="1">
      <c r="A7" s="12"/>
      <c r="B7" s="87"/>
      <c r="I7" s="12"/>
    </row>
    <row r="8" spans="1:19" ht="12.75" customHeight="1">
      <c r="A8" s="12"/>
      <c r="B8" s="87"/>
      <c r="I8" s="12"/>
    </row>
    <row r="9" spans="1:19" ht="12.75" customHeight="1">
      <c r="B9" s="95" t="s">
        <v>157</v>
      </c>
      <c r="C9" s="96">
        <v>6.25</v>
      </c>
      <c r="D9" s="95" t="s">
        <v>159</v>
      </c>
      <c r="E9" s="90">
        <v>6.5</v>
      </c>
    </row>
    <row r="10" spans="1:19" ht="12.75" customHeight="1">
      <c r="B10" s="95" t="s">
        <v>158</v>
      </c>
      <c r="C10" s="96">
        <v>6.75</v>
      </c>
      <c r="D10" s="95" t="s">
        <v>160</v>
      </c>
      <c r="E10" s="90">
        <v>7</v>
      </c>
    </row>
    <row r="11" spans="1:19" ht="12.75" customHeight="1">
      <c r="B11" s="86"/>
      <c r="C11" s="97"/>
    </row>
    <row r="13" spans="1:19">
      <c r="A13" s="88" t="s">
        <v>153</v>
      </c>
      <c r="B13" s="128"/>
    </row>
  </sheetData>
  <mergeCells count="1">
    <mergeCell ref="B6:S6"/>
  </mergeCells>
  <hyperlinks>
    <hyperlink ref="A1" location="'Question Paper for Excel'!A1" display="Home"/>
    <hyperlink ref="B10" r:id="rId1" display="javascript: void 0;"/>
    <hyperlink ref="B1" location="'Question 18'!A1" display="Next Question"/>
    <hyperlink ref="C1" location="'Question 16'!A1" display="Previous Question"/>
  </hyperlinks>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sheetPr codeName="Sheet23"/>
  <dimension ref="A1:S13"/>
  <sheetViews>
    <sheetView showGridLines="0" workbookViewId="0">
      <selection activeCell="B13" sqref="B13"/>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147</v>
      </c>
      <c r="B6" s="140" t="s">
        <v>162</v>
      </c>
      <c r="C6" s="139"/>
      <c r="D6" s="139"/>
      <c r="E6" s="139"/>
      <c r="F6" s="139"/>
      <c r="G6" s="139"/>
      <c r="H6" s="139"/>
      <c r="I6" s="139"/>
      <c r="J6" s="139"/>
      <c r="K6" s="139"/>
      <c r="L6" s="139"/>
      <c r="M6" s="139"/>
      <c r="N6" s="139"/>
      <c r="O6" s="139"/>
      <c r="P6" s="139"/>
      <c r="Q6" s="139"/>
      <c r="R6" s="139"/>
      <c r="S6" s="139"/>
    </row>
    <row r="7" spans="1:19" ht="12.75" customHeight="1">
      <c r="A7" s="12"/>
      <c r="B7" s="87"/>
      <c r="I7" s="12"/>
    </row>
    <row r="8" spans="1:19" ht="12.75" customHeight="1">
      <c r="A8" s="12"/>
      <c r="B8" s="87"/>
      <c r="I8" s="12"/>
    </row>
    <row r="9" spans="1:19" ht="12.75" customHeight="1">
      <c r="B9" s="95" t="s">
        <v>157</v>
      </c>
      <c r="C9" t="s">
        <v>163</v>
      </c>
      <c r="D9" s="95" t="s">
        <v>159</v>
      </c>
      <c r="E9" t="s">
        <v>165</v>
      </c>
    </row>
    <row r="10" spans="1:19" ht="12.75" customHeight="1">
      <c r="B10" s="95" t="s">
        <v>158</v>
      </c>
      <c r="C10" t="s">
        <v>164</v>
      </c>
      <c r="D10" s="95" t="s">
        <v>160</v>
      </c>
      <c r="E10" t="s">
        <v>166</v>
      </c>
    </row>
    <row r="11" spans="1:19" ht="12.75" customHeight="1">
      <c r="B11" s="86"/>
      <c r="C11" s="97"/>
    </row>
    <row r="13" spans="1:19">
      <c r="A13" s="88" t="s">
        <v>153</v>
      </c>
      <c r="B13" s="89"/>
    </row>
  </sheetData>
  <mergeCells count="1">
    <mergeCell ref="B6:S6"/>
  </mergeCells>
  <hyperlinks>
    <hyperlink ref="A1" location="'Question Paper for Excel'!A1" display="Home"/>
    <hyperlink ref="B10" r:id="rId1" display="javascript: void 0;"/>
    <hyperlink ref="B1" location="'Question 19'!A1" display="Next Question"/>
    <hyperlink ref="C1" location="'Question 17'!A1" display="Previous Question"/>
  </hyperlink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sheetPr codeName="Sheet24"/>
  <dimension ref="A1:S13"/>
  <sheetViews>
    <sheetView showGridLines="0" workbookViewId="0">
      <selection activeCell="B13" sqref="B13"/>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147</v>
      </c>
      <c r="B6" s="141" t="s">
        <v>167</v>
      </c>
      <c r="C6" s="142"/>
      <c r="D6" s="142"/>
      <c r="E6" s="142"/>
      <c r="F6" s="142"/>
      <c r="G6" s="142"/>
      <c r="H6" s="142"/>
      <c r="I6" s="142"/>
      <c r="J6" s="142"/>
      <c r="K6" s="142"/>
      <c r="L6" s="142"/>
      <c r="M6" s="142"/>
      <c r="N6" s="142"/>
      <c r="O6" s="142"/>
      <c r="P6" s="142"/>
      <c r="Q6" s="142"/>
      <c r="R6" s="142"/>
      <c r="S6" s="142"/>
    </row>
    <row r="7" spans="1:19" ht="12.75" customHeight="1">
      <c r="A7" s="12"/>
      <c r="B7" s="87"/>
      <c r="I7" s="12"/>
    </row>
    <row r="8" spans="1:19" ht="12.75" customHeight="1">
      <c r="A8" s="12"/>
      <c r="B8" s="87"/>
      <c r="I8" s="12"/>
    </row>
    <row r="9" spans="1:19" ht="12.75" customHeight="1">
      <c r="B9" s="95" t="s">
        <v>157</v>
      </c>
      <c r="C9" s="96">
        <v>27</v>
      </c>
      <c r="D9" s="95" t="s">
        <v>159</v>
      </c>
      <c r="E9" s="96">
        <v>100</v>
      </c>
    </row>
    <row r="10" spans="1:19" ht="12.75" customHeight="1">
      <c r="B10" s="95" t="s">
        <v>158</v>
      </c>
      <c r="C10" s="96">
        <v>125</v>
      </c>
      <c r="D10" s="95" t="s">
        <v>160</v>
      </c>
      <c r="E10" s="96">
        <v>343</v>
      </c>
    </row>
    <row r="11" spans="1:19" ht="12.75" customHeight="1">
      <c r="B11" s="86"/>
      <c r="C11" s="97"/>
    </row>
    <row r="13" spans="1:19">
      <c r="A13" s="88" t="s">
        <v>153</v>
      </c>
      <c r="B13" s="89"/>
    </row>
  </sheetData>
  <mergeCells count="1">
    <mergeCell ref="B6:S6"/>
  </mergeCells>
  <hyperlinks>
    <hyperlink ref="A1" location="'Question Paper for Excel'!A1" display="Home"/>
    <hyperlink ref="B10" r:id="rId1" display="javascript: void 0;"/>
    <hyperlink ref="B1" location="'Question 20'!A1" display="Next Question"/>
    <hyperlink ref="C1" location="'Question 18'!A1" display="Previous Question"/>
  </hyperlinks>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sheetPr codeName="Sheet20"/>
  <dimension ref="A1:S15"/>
  <sheetViews>
    <sheetView showGridLines="0" workbookViewId="0">
      <selection activeCell="B12" sqref="B12:D12"/>
    </sheetView>
  </sheetViews>
  <sheetFormatPr defaultColWidth="9.140625" defaultRowHeight="12.75"/>
  <cols>
    <col min="1" max="1" width="9" style="1" bestFit="1" customWidth="1"/>
    <col min="2" max="2" width="17.7109375" style="1" bestFit="1" customWidth="1"/>
    <col min="3" max="6" width="9.140625" style="1"/>
    <col min="7" max="7" width="16.5703125" style="1" bestFit="1" customWidth="1"/>
    <col min="8" max="16384" width="9.140625" style="1"/>
  </cols>
  <sheetData>
    <row r="1" spans="1:19" ht="15.75">
      <c r="A1" s="19" t="s">
        <v>18</v>
      </c>
      <c r="B1" s="52" t="s">
        <v>43</v>
      </c>
    </row>
    <row r="3" spans="1:19">
      <c r="K3" s="85"/>
    </row>
    <row r="6" spans="1:19" ht="15.75">
      <c r="A6" s="12" t="s">
        <v>44</v>
      </c>
      <c r="B6" s="141" t="s">
        <v>172</v>
      </c>
      <c r="C6" s="142" t="s">
        <v>171</v>
      </c>
      <c r="D6" s="142" t="s">
        <v>171</v>
      </c>
      <c r="E6" s="142" t="s">
        <v>171</v>
      </c>
      <c r="F6" s="142" t="s">
        <v>171</v>
      </c>
      <c r="G6" s="142" t="s">
        <v>171</v>
      </c>
      <c r="H6" s="142" t="s">
        <v>171</v>
      </c>
      <c r="I6" s="142" t="s">
        <v>171</v>
      </c>
      <c r="J6" s="142" t="s">
        <v>171</v>
      </c>
      <c r="K6" s="142" t="s">
        <v>171</v>
      </c>
      <c r="L6" s="142" t="s">
        <v>171</v>
      </c>
      <c r="M6" s="142" t="s">
        <v>171</v>
      </c>
      <c r="N6" s="142" t="s">
        <v>171</v>
      </c>
      <c r="O6" s="142" t="s">
        <v>171</v>
      </c>
      <c r="P6" s="142" t="s">
        <v>171</v>
      </c>
      <c r="Q6" s="142" t="s">
        <v>171</v>
      </c>
      <c r="R6" s="142" t="s">
        <v>171</v>
      </c>
      <c r="S6" s="142" t="s">
        <v>171</v>
      </c>
    </row>
    <row r="9" spans="1:19">
      <c r="B9" s="102" t="s">
        <v>173</v>
      </c>
      <c r="C9" s="102" t="s">
        <v>174</v>
      </c>
      <c r="D9" s="102" t="s">
        <v>175</v>
      </c>
    </row>
    <row r="12" spans="1:19">
      <c r="B12" s="143"/>
      <c r="C12" s="144"/>
      <c r="D12" s="145"/>
      <c r="G12" s="103" t="s">
        <v>176</v>
      </c>
    </row>
    <row r="15" spans="1:19">
      <c r="B15" s="146" t="s">
        <v>177</v>
      </c>
      <c r="C15" s="147"/>
      <c r="D15" s="148"/>
      <c r="G15" s="103" t="s">
        <v>178</v>
      </c>
    </row>
  </sheetData>
  <protectedRanges>
    <protectedRange sqref="B9:D9" name="Range1"/>
    <protectedRange sqref="B12:D12" name="Range1_1"/>
    <protectedRange sqref="G12 G15" name="Range1_2"/>
    <protectedRange sqref="B15:D15" name="Range1_3"/>
  </protectedRanges>
  <mergeCells count="3">
    <mergeCell ref="B6:S6"/>
    <mergeCell ref="B12:D12"/>
    <mergeCell ref="B15:D15"/>
  </mergeCells>
  <hyperlinks>
    <hyperlink ref="A1" location="'Question Paper for Excel'!A1" display="Home"/>
    <hyperlink ref="B1" location="'Question 19'!A1" display="Previous Question"/>
  </hyperlinks>
  <pageMargins left="0.75" right="0.75" top="1" bottom="1" header="0.5" footer="0.5"/>
  <headerFooter alignWithMargins="0"/>
  <drawing r:id="rId1"/>
  <legacyDrawing r:id="rId2"/>
  <controls>
    <control shapeId="17409" r:id="rId3" name="CommandButton1"/>
  </controls>
</worksheet>
</file>

<file path=xl/worksheets/sheet22.xml><?xml version="1.0" encoding="utf-8"?>
<worksheet xmlns="http://schemas.openxmlformats.org/spreadsheetml/2006/main" xmlns:r="http://schemas.openxmlformats.org/officeDocument/2006/relationships">
  <dimension ref="C2:D30"/>
  <sheetViews>
    <sheetView showGridLines="0" showRowColHeaders="0" workbookViewId="0">
      <selection activeCell="D3" sqref="D3"/>
    </sheetView>
  </sheetViews>
  <sheetFormatPr defaultRowHeight="15"/>
  <cols>
    <col min="3" max="3" width="9.85546875" bestFit="1" customWidth="1"/>
    <col min="4" max="4" width="20.140625" bestFit="1" customWidth="1"/>
  </cols>
  <sheetData>
    <row r="2" spans="3:4">
      <c r="C2" s="108" t="s">
        <v>184</v>
      </c>
      <c r="D2" s="108" t="s">
        <v>185</v>
      </c>
    </row>
    <row r="3" spans="3:4">
      <c r="C3" s="109">
        <v>36012</v>
      </c>
      <c r="D3" s="108"/>
    </row>
    <row r="4" spans="3:4">
      <c r="C4" s="109">
        <v>36420</v>
      </c>
      <c r="D4" s="108"/>
    </row>
    <row r="5" spans="3:4">
      <c r="C5" s="109">
        <v>36472</v>
      </c>
      <c r="D5" s="108"/>
    </row>
    <row r="6" spans="3:4">
      <c r="C6" s="109">
        <v>36805</v>
      </c>
      <c r="D6" s="108"/>
    </row>
    <row r="7" spans="3:4">
      <c r="C7" s="109">
        <v>37085</v>
      </c>
      <c r="D7" s="108"/>
    </row>
    <row r="8" spans="3:4">
      <c r="C8" s="109">
        <v>37493</v>
      </c>
      <c r="D8" s="108"/>
    </row>
    <row r="9" spans="3:4">
      <c r="C9" s="109">
        <v>37593</v>
      </c>
      <c r="D9" s="108"/>
    </row>
    <row r="10" spans="3:4">
      <c r="C10" s="109">
        <v>38026</v>
      </c>
      <c r="D10" s="108"/>
    </row>
    <row r="11" spans="3:4">
      <c r="C11" s="109">
        <v>38121</v>
      </c>
      <c r="D11" s="108"/>
    </row>
    <row r="12" spans="3:4">
      <c r="C12" s="109">
        <v>38240</v>
      </c>
      <c r="D12" s="108"/>
    </row>
    <row r="13" spans="3:4">
      <c r="C13" s="109">
        <v>38462</v>
      </c>
      <c r="D13" s="108"/>
    </row>
    <row r="14" spans="3:4">
      <c r="C14" s="109">
        <v>39094</v>
      </c>
      <c r="D14" s="108"/>
    </row>
    <row r="15" spans="3:4">
      <c r="C15" s="109">
        <v>39179</v>
      </c>
      <c r="D15" s="108"/>
    </row>
    <row r="16" spans="3:4">
      <c r="C16" s="109">
        <v>39372</v>
      </c>
      <c r="D16" s="108"/>
    </row>
    <row r="17" spans="3:4">
      <c r="C17" s="109">
        <v>39562</v>
      </c>
      <c r="D17" s="108"/>
    </row>
    <row r="18" spans="3:4">
      <c r="C18" s="109">
        <v>40044</v>
      </c>
      <c r="D18" s="108"/>
    </row>
    <row r="19" spans="3:4">
      <c r="C19" s="109">
        <v>40258</v>
      </c>
      <c r="D19" s="108"/>
    </row>
    <row r="20" spans="3:4">
      <c r="C20" s="109">
        <v>40294</v>
      </c>
      <c r="D20" s="108"/>
    </row>
    <row r="21" spans="3:4">
      <c r="C21" s="109">
        <v>40677</v>
      </c>
      <c r="D21" s="108"/>
    </row>
    <row r="22" spans="3:4">
      <c r="C22" s="109">
        <v>41068</v>
      </c>
      <c r="D22" s="108"/>
    </row>
    <row r="23" spans="3:4">
      <c r="C23" s="109">
        <v>41745</v>
      </c>
      <c r="D23" s="108"/>
    </row>
    <row r="24" spans="3:4">
      <c r="C24" s="109">
        <v>41890</v>
      </c>
      <c r="D24" s="108"/>
    </row>
    <row r="25" spans="3:4">
      <c r="C25" s="109">
        <v>42140</v>
      </c>
      <c r="D25" s="108"/>
    </row>
    <row r="26" spans="3:4">
      <c r="C26" s="109">
        <v>42213</v>
      </c>
      <c r="D26" s="108"/>
    </row>
    <row r="27" spans="3:4">
      <c r="C27" s="109">
        <v>42304</v>
      </c>
      <c r="D27" s="108"/>
    </row>
    <row r="28" spans="3:4">
      <c r="C28" s="109">
        <v>42486</v>
      </c>
      <c r="D28" s="108"/>
    </row>
    <row r="29" spans="3:4">
      <c r="C29" s="109">
        <v>42489</v>
      </c>
      <c r="D29" s="108"/>
    </row>
    <row r="30" spans="3:4">
      <c r="C30" s="109">
        <v>42763</v>
      </c>
      <c r="D30" s="108"/>
    </row>
  </sheetData>
  <sortState ref="C3:C30">
    <sortCondition ref="C3"/>
  </sortState>
  <pageMargins left="0.7" right="0.7" top="0.75" bottom="0.75" header="0.3" footer="0.3"/>
</worksheet>
</file>

<file path=xl/worksheets/sheet23.xml><?xml version="1.0" encoding="utf-8"?>
<worksheet xmlns="http://schemas.openxmlformats.org/spreadsheetml/2006/main" xmlns:r="http://schemas.openxmlformats.org/officeDocument/2006/relationships">
  <dimension ref="C2:E30"/>
  <sheetViews>
    <sheetView showGridLines="0" showRowColHeaders="0" workbookViewId="0">
      <selection activeCell="D3" sqref="D3"/>
    </sheetView>
  </sheetViews>
  <sheetFormatPr defaultRowHeight="15"/>
  <cols>
    <col min="3" max="3" width="9.85546875" bestFit="1" customWidth="1"/>
    <col min="4" max="4" width="59.28515625" bestFit="1" customWidth="1"/>
    <col min="5" max="5" width="11.28515625" bestFit="1" customWidth="1"/>
    <col min="6" max="6" width="9.28515625" bestFit="1" customWidth="1"/>
  </cols>
  <sheetData>
    <row r="2" spans="3:5">
      <c r="C2" s="108" t="s">
        <v>184</v>
      </c>
      <c r="D2" s="108" t="s">
        <v>187</v>
      </c>
    </row>
    <row r="3" spans="3:5">
      <c r="C3" s="109">
        <v>36012</v>
      </c>
      <c r="D3" s="110" t="s">
        <v>186</v>
      </c>
      <c r="E3" t="s">
        <v>188</v>
      </c>
    </row>
    <row r="4" spans="3:5">
      <c r="C4" s="109">
        <v>36420</v>
      </c>
      <c r="D4" s="108"/>
    </row>
    <row r="5" spans="3:5">
      <c r="C5" s="109">
        <v>36472</v>
      </c>
      <c r="D5" s="108"/>
    </row>
    <row r="6" spans="3:5">
      <c r="C6" s="109">
        <v>36805</v>
      </c>
      <c r="D6" s="108"/>
    </row>
    <row r="7" spans="3:5">
      <c r="C7" s="109">
        <v>37085</v>
      </c>
      <c r="D7" s="108"/>
    </row>
    <row r="8" spans="3:5">
      <c r="C8" s="109">
        <v>37493</v>
      </c>
      <c r="D8" s="108"/>
    </row>
    <row r="9" spans="3:5">
      <c r="C9" s="109">
        <v>37593</v>
      </c>
      <c r="D9" s="108"/>
    </row>
    <row r="10" spans="3:5">
      <c r="C10" s="109">
        <v>38026</v>
      </c>
      <c r="D10" s="108"/>
    </row>
    <row r="11" spans="3:5">
      <c r="C11" s="109">
        <v>38121</v>
      </c>
      <c r="D11" s="108"/>
    </row>
    <row r="12" spans="3:5">
      <c r="C12" s="109">
        <v>38240</v>
      </c>
      <c r="D12" s="108"/>
    </row>
    <row r="13" spans="3:5">
      <c r="C13" s="109">
        <v>38462</v>
      </c>
      <c r="D13" s="108"/>
    </row>
    <row r="14" spans="3:5">
      <c r="C14" s="109">
        <v>39094</v>
      </c>
      <c r="D14" s="108"/>
    </row>
    <row r="15" spans="3:5">
      <c r="C15" s="109">
        <v>39179</v>
      </c>
      <c r="D15" s="108"/>
    </row>
    <row r="16" spans="3:5">
      <c r="C16" s="109">
        <v>39372</v>
      </c>
      <c r="D16" s="108"/>
    </row>
    <row r="17" spans="3:4">
      <c r="C17" s="109">
        <v>39562</v>
      </c>
      <c r="D17" s="108"/>
    </row>
    <row r="18" spans="3:4">
      <c r="C18" s="109">
        <v>40044</v>
      </c>
      <c r="D18" s="108"/>
    </row>
    <row r="19" spans="3:4">
      <c r="C19" s="109">
        <v>40258</v>
      </c>
      <c r="D19" s="108"/>
    </row>
    <row r="20" spans="3:4">
      <c r="C20" s="109">
        <v>40294</v>
      </c>
      <c r="D20" s="108"/>
    </row>
    <row r="21" spans="3:4">
      <c r="C21" s="109">
        <v>40677</v>
      </c>
      <c r="D21" s="108"/>
    </row>
    <row r="22" spans="3:4">
      <c r="C22" s="109">
        <v>41068</v>
      </c>
      <c r="D22" s="108"/>
    </row>
    <row r="23" spans="3:4">
      <c r="C23" s="109">
        <v>41745</v>
      </c>
      <c r="D23" s="108"/>
    </row>
    <row r="24" spans="3:4">
      <c r="C24" s="109">
        <v>41890</v>
      </c>
      <c r="D24" s="108"/>
    </row>
    <row r="25" spans="3:4">
      <c r="C25" s="109">
        <v>42140</v>
      </c>
      <c r="D25" s="108"/>
    </row>
    <row r="26" spans="3:4">
      <c r="C26" s="109">
        <v>42213</v>
      </c>
      <c r="D26" s="108"/>
    </row>
    <row r="27" spans="3:4">
      <c r="C27" s="109">
        <v>42304</v>
      </c>
      <c r="D27" s="108"/>
    </row>
    <row r="28" spans="3:4">
      <c r="C28" s="109">
        <v>42486</v>
      </c>
      <c r="D28" s="108"/>
    </row>
    <row r="29" spans="3:4">
      <c r="C29" s="109">
        <v>42489</v>
      </c>
      <c r="D29" s="108"/>
    </row>
    <row r="30" spans="3:4">
      <c r="C30" s="109">
        <v>42763</v>
      </c>
      <c r="D30" s="10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dimension ref="B2:E90"/>
  <sheetViews>
    <sheetView showGridLines="0" showRowColHeaders="0" topLeftCell="A8" zoomScale="85" zoomScaleNormal="85" workbookViewId="0">
      <selection activeCell="D9" sqref="D9"/>
    </sheetView>
  </sheetViews>
  <sheetFormatPr defaultRowHeight="15"/>
  <cols>
    <col min="2" max="2" width="70.85546875" customWidth="1"/>
    <col min="3" max="3" width="18" bestFit="1" customWidth="1"/>
    <col min="4" max="4" width="15.42578125" bestFit="1" customWidth="1"/>
    <col min="8" max="12" width="27.5703125" customWidth="1"/>
  </cols>
  <sheetData>
    <row r="2" spans="2:5">
      <c r="B2" t="s">
        <v>189</v>
      </c>
    </row>
    <row r="3" spans="2:5">
      <c r="B3" t="s">
        <v>190</v>
      </c>
    </row>
    <row r="4" spans="2:5">
      <c r="B4" t="s">
        <v>191</v>
      </c>
    </row>
    <row r="5" spans="2:5">
      <c r="B5" t="s">
        <v>194</v>
      </c>
    </row>
    <row r="6" spans="2:5">
      <c r="B6" t="s">
        <v>193</v>
      </c>
    </row>
    <row r="8" spans="2:5" ht="36">
      <c r="B8" s="111"/>
      <c r="C8" s="111" t="s">
        <v>195</v>
      </c>
      <c r="D8" s="111" t="s">
        <v>196</v>
      </c>
      <c r="E8" s="111" t="s">
        <v>197</v>
      </c>
    </row>
    <row r="9" spans="2:5">
      <c r="B9" s="111" t="s">
        <v>198</v>
      </c>
      <c r="C9" s="112">
        <v>30</v>
      </c>
      <c r="D9" s="112" t="s">
        <v>199</v>
      </c>
      <c r="E9" s="112">
        <v>0</v>
      </c>
    </row>
    <row r="10" spans="2:5">
      <c r="B10" s="111" t="s">
        <v>198</v>
      </c>
      <c r="C10" s="112">
        <v>60</v>
      </c>
      <c r="D10" s="112" t="s">
        <v>200</v>
      </c>
      <c r="E10" s="112">
        <v>0</v>
      </c>
    </row>
    <row r="11" spans="2:5">
      <c r="B11" s="111" t="s">
        <v>198</v>
      </c>
      <c r="C11" s="112">
        <v>90</v>
      </c>
      <c r="D11" s="112" t="s">
        <v>201</v>
      </c>
      <c r="E11" s="112">
        <v>30</v>
      </c>
    </row>
    <row r="12" spans="2:5">
      <c r="B12" s="111" t="s">
        <v>198</v>
      </c>
      <c r="C12" s="112">
        <v>180</v>
      </c>
      <c r="D12" s="112" t="s">
        <v>202</v>
      </c>
      <c r="E12" s="112">
        <v>30</v>
      </c>
    </row>
    <row r="13" spans="2:5">
      <c r="B13" s="111" t="s">
        <v>198</v>
      </c>
      <c r="C13" s="112">
        <v>270</v>
      </c>
      <c r="D13" s="112" t="s">
        <v>203</v>
      </c>
      <c r="E13" s="112">
        <v>30</v>
      </c>
    </row>
    <row r="14" spans="2:5">
      <c r="B14" s="111" t="s">
        <v>204</v>
      </c>
      <c r="C14" s="112">
        <v>60</v>
      </c>
      <c r="D14" s="112" t="s">
        <v>200</v>
      </c>
      <c r="E14" s="112">
        <v>0</v>
      </c>
    </row>
    <row r="15" spans="2:5">
      <c r="B15" s="111" t="s">
        <v>204</v>
      </c>
      <c r="C15" s="112">
        <v>90</v>
      </c>
      <c r="D15" s="112" t="s">
        <v>201</v>
      </c>
      <c r="E15" s="112">
        <v>30</v>
      </c>
    </row>
    <row r="16" spans="2:5">
      <c r="B16" s="111" t="s">
        <v>204</v>
      </c>
      <c r="C16" s="112">
        <v>180</v>
      </c>
      <c r="D16" s="112" t="s">
        <v>202</v>
      </c>
      <c r="E16" s="112">
        <v>30</v>
      </c>
    </row>
    <row r="17" spans="2:5">
      <c r="B17" s="111" t="s">
        <v>204</v>
      </c>
      <c r="C17" s="112">
        <v>270</v>
      </c>
      <c r="D17" s="112" t="s">
        <v>203</v>
      </c>
      <c r="E17" s="112">
        <v>30</v>
      </c>
    </row>
    <row r="18" spans="2:5">
      <c r="B18" s="111" t="s">
        <v>204</v>
      </c>
      <c r="C18" s="112">
        <v>300</v>
      </c>
      <c r="D18" s="112" t="s">
        <v>205</v>
      </c>
      <c r="E18" s="112">
        <v>60</v>
      </c>
    </row>
    <row r="19" spans="2:5">
      <c r="B19" s="111" t="s">
        <v>204</v>
      </c>
      <c r="C19" s="112">
        <v>570</v>
      </c>
      <c r="D19" s="112" t="s">
        <v>206</v>
      </c>
      <c r="E19" s="112">
        <v>60</v>
      </c>
    </row>
    <row r="20" spans="2:5">
      <c r="B20" s="111" t="s">
        <v>204</v>
      </c>
      <c r="C20" s="112">
        <v>690</v>
      </c>
      <c r="D20" s="112" t="s">
        <v>207</v>
      </c>
      <c r="E20" s="112">
        <v>90</v>
      </c>
    </row>
    <row r="21" spans="2:5">
      <c r="B21" s="113"/>
      <c r="C21" s="113"/>
      <c r="D21" s="113"/>
      <c r="E21" s="113"/>
    </row>
    <row r="22" spans="2:5">
      <c r="B22" s="110" t="s">
        <v>208</v>
      </c>
      <c r="C22" s="108" t="s">
        <v>209</v>
      </c>
      <c r="D22" s="110" t="s">
        <v>192</v>
      </c>
      <c r="E22" s="114"/>
    </row>
    <row r="23" spans="2:5">
      <c r="B23" s="110">
        <v>17</v>
      </c>
      <c r="C23" s="108" t="s">
        <v>210</v>
      </c>
      <c r="D23" s="110"/>
      <c r="E23" s="114"/>
    </row>
    <row r="24" spans="2:5">
      <c r="B24" s="110">
        <v>19</v>
      </c>
      <c r="C24" s="108" t="s">
        <v>211</v>
      </c>
      <c r="D24" s="110"/>
      <c r="E24" s="114"/>
    </row>
    <row r="25" spans="2:5">
      <c r="B25" s="110">
        <v>21</v>
      </c>
      <c r="C25" s="108" t="s">
        <v>211</v>
      </c>
      <c r="D25" s="110"/>
      <c r="E25" s="114"/>
    </row>
    <row r="26" spans="2:5">
      <c r="B26" s="110">
        <v>30</v>
      </c>
      <c r="C26" s="108" t="s">
        <v>210</v>
      </c>
      <c r="D26" s="110"/>
      <c r="E26" s="114"/>
    </row>
    <row r="27" spans="2:5">
      <c r="B27" s="110">
        <v>34</v>
      </c>
      <c r="C27" s="108" t="s">
        <v>210</v>
      </c>
      <c r="D27" s="110"/>
      <c r="E27" s="114"/>
    </row>
    <row r="28" spans="2:5">
      <c r="B28" s="110">
        <v>37</v>
      </c>
      <c r="C28" s="108" t="s">
        <v>211</v>
      </c>
      <c r="D28" s="110"/>
      <c r="E28" s="114"/>
    </row>
    <row r="29" spans="2:5">
      <c r="B29" s="110">
        <v>59</v>
      </c>
      <c r="C29" s="108" t="s">
        <v>210</v>
      </c>
      <c r="D29" s="110"/>
      <c r="E29" s="114"/>
    </row>
    <row r="30" spans="2:5">
      <c r="B30" s="110">
        <v>61</v>
      </c>
      <c r="C30" s="108" t="s">
        <v>210</v>
      </c>
      <c r="D30" s="110"/>
      <c r="E30" s="114"/>
    </row>
    <row r="31" spans="2:5">
      <c r="B31" s="110">
        <v>66</v>
      </c>
      <c r="C31" s="108" t="s">
        <v>211</v>
      </c>
      <c r="D31" s="110"/>
      <c r="E31" s="114"/>
    </row>
    <row r="32" spans="2:5">
      <c r="B32" s="110">
        <v>70</v>
      </c>
      <c r="C32" s="108" t="s">
        <v>210</v>
      </c>
      <c r="D32" s="110"/>
      <c r="E32" s="114"/>
    </row>
    <row r="33" spans="2:5">
      <c r="B33" s="110">
        <v>71</v>
      </c>
      <c r="C33" s="108" t="s">
        <v>210</v>
      </c>
      <c r="D33" s="110"/>
      <c r="E33" s="114"/>
    </row>
    <row r="34" spans="2:5">
      <c r="B34" s="110">
        <v>74</v>
      </c>
      <c r="C34" s="108" t="s">
        <v>210</v>
      </c>
      <c r="D34" s="110"/>
      <c r="E34" s="114"/>
    </row>
    <row r="35" spans="2:5">
      <c r="B35" s="110">
        <v>88</v>
      </c>
      <c r="C35" s="108" t="s">
        <v>211</v>
      </c>
      <c r="D35" s="110"/>
      <c r="E35" s="114"/>
    </row>
    <row r="36" spans="2:5">
      <c r="B36" s="110">
        <v>90</v>
      </c>
      <c r="C36" s="108" t="s">
        <v>211</v>
      </c>
      <c r="D36" s="110"/>
      <c r="E36" s="114"/>
    </row>
    <row r="37" spans="2:5">
      <c r="B37" s="110">
        <v>90</v>
      </c>
      <c r="C37" s="108" t="s">
        <v>211</v>
      </c>
      <c r="D37" s="110"/>
      <c r="E37" s="114"/>
    </row>
    <row r="38" spans="2:5">
      <c r="B38" s="110">
        <v>90</v>
      </c>
      <c r="C38" s="108" t="s">
        <v>210</v>
      </c>
      <c r="D38" s="110"/>
      <c r="E38" s="114"/>
    </row>
    <row r="39" spans="2:5">
      <c r="B39" s="110">
        <v>93</v>
      </c>
      <c r="C39" s="108" t="s">
        <v>211</v>
      </c>
      <c r="D39" s="110"/>
      <c r="E39" s="114"/>
    </row>
    <row r="40" spans="2:5">
      <c r="B40" s="110">
        <v>99</v>
      </c>
      <c r="C40" s="108" t="s">
        <v>211</v>
      </c>
      <c r="D40" s="110"/>
      <c r="E40" s="114"/>
    </row>
    <row r="41" spans="2:5">
      <c r="B41" s="110">
        <v>120</v>
      </c>
      <c r="C41" s="108" t="s">
        <v>211</v>
      </c>
      <c r="D41" s="110"/>
      <c r="E41" s="114"/>
    </row>
    <row r="42" spans="2:5">
      <c r="B42" s="110">
        <v>140</v>
      </c>
      <c r="C42" s="108" t="s">
        <v>210</v>
      </c>
      <c r="D42" s="110"/>
      <c r="E42" s="114"/>
    </row>
    <row r="43" spans="2:5">
      <c r="B43" s="110">
        <v>158</v>
      </c>
      <c r="C43" s="108" t="s">
        <v>211</v>
      </c>
      <c r="D43" s="110"/>
      <c r="E43" s="114"/>
    </row>
    <row r="44" spans="2:5">
      <c r="B44" s="110">
        <v>165</v>
      </c>
      <c r="C44" s="108" t="s">
        <v>211</v>
      </c>
      <c r="D44" s="110"/>
      <c r="E44" s="114"/>
    </row>
    <row r="45" spans="2:5">
      <c r="B45" s="110">
        <v>176</v>
      </c>
      <c r="C45" s="108" t="s">
        <v>210</v>
      </c>
      <c r="D45" s="110"/>
      <c r="E45" s="114"/>
    </row>
    <row r="46" spans="2:5">
      <c r="B46" s="110">
        <v>185</v>
      </c>
      <c r="C46" s="108" t="s">
        <v>210</v>
      </c>
      <c r="D46" s="110"/>
      <c r="E46" s="114"/>
    </row>
    <row r="47" spans="2:5">
      <c r="B47" s="110">
        <v>186</v>
      </c>
      <c r="C47" s="108" t="s">
        <v>211</v>
      </c>
      <c r="D47" s="110"/>
      <c r="E47" s="114"/>
    </row>
    <row r="48" spans="2:5">
      <c r="B48" s="110">
        <v>188</v>
      </c>
      <c r="C48" s="108" t="s">
        <v>211</v>
      </c>
      <c r="D48" s="110"/>
      <c r="E48" s="114"/>
    </row>
    <row r="49" spans="2:5">
      <c r="B49" s="110">
        <v>191</v>
      </c>
      <c r="C49" s="108" t="s">
        <v>211</v>
      </c>
      <c r="D49" s="110"/>
      <c r="E49" s="114"/>
    </row>
    <row r="50" spans="2:5">
      <c r="B50" s="110">
        <v>206</v>
      </c>
      <c r="C50" s="108" t="s">
        <v>211</v>
      </c>
      <c r="D50" s="110"/>
      <c r="E50" s="114"/>
    </row>
    <row r="51" spans="2:5">
      <c r="B51" s="110">
        <v>216</v>
      </c>
      <c r="C51" s="108" t="s">
        <v>210</v>
      </c>
      <c r="D51" s="110"/>
      <c r="E51" s="114"/>
    </row>
    <row r="52" spans="2:5">
      <c r="B52" s="110">
        <v>217</v>
      </c>
      <c r="C52" s="108" t="s">
        <v>211</v>
      </c>
      <c r="D52" s="110"/>
      <c r="E52" s="114"/>
    </row>
    <row r="53" spans="2:5">
      <c r="B53" s="110">
        <v>218</v>
      </c>
      <c r="C53" s="108" t="s">
        <v>210</v>
      </c>
      <c r="D53" s="110"/>
      <c r="E53" s="114"/>
    </row>
    <row r="54" spans="2:5">
      <c r="B54" s="110">
        <v>225</v>
      </c>
      <c r="C54" s="108" t="s">
        <v>210</v>
      </c>
      <c r="D54" s="110"/>
      <c r="E54" s="114"/>
    </row>
    <row r="55" spans="2:5">
      <c r="B55" s="110">
        <v>245</v>
      </c>
      <c r="C55" s="108" t="s">
        <v>210</v>
      </c>
      <c r="D55" s="110"/>
      <c r="E55" s="114"/>
    </row>
    <row r="56" spans="2:5">
      <c r="B56" s="110">
        <v>247</v>
      </c>
      <c r="C56" s="108" t="s">
        <v>210</v>
      </c>
      <c r="D56" s="110"/>
      <c r="E56" s="114"/>
    </row>
    <row r="57" spans="2:5">
      <c r="B57" s="110">
        <v>249</v>
      </c>
      <c r="C57" s="108" t="s">
        <v>211</v>
      </c>
      <c r="D57" s="110"/>
      <c r="E57" s="114"/>
    </row>
    <row r="58" spans="2:5">
      <c r="B58" s="110">
        <v>260</v>
      </c>
      <c r="C58" s="108" t="s">
        <v>211</v>
      </c>
      <c r="D58" s="110"/>
      <c r="E58" s="114"/>
    </row>
    <row r="59" spans="2:5">
      <c r="B59" s="110">
        <v>263</v>
      </c>
      <c r="C59" s="108" t="s">
        <v>210</v>
      </c>
      <c r="D59" s="110"/>
      <c r="E59" s="114"/>
    </row>
    <row r="60" spans="2:5">
      <c r="B60" s="110">
        <v>272</v>
      </c>
      <c r="C60" s="108" t="s">
        <v>210</v>
      </c>
      <c r="D60" s="110"/>
      <c r="E60" s="114"/>
    </row>
    <row r="61" spans="2:5">
      <c r="B61" s="110">
        <v>278</v>
      </c>
      <c r="C61" s="108" t="s">
        <v>211</v>
      </c>
      <c r="D61" s="110"/>
      <c r="E61" s="114"/>
    </row>
    <row r="62" spans="2:5">
      <c r="B62" s="110">
        <v>288</v>
      </c>
      <c r="C62" s="108" t="s">
        <v>210</v>
      </c>
      <c r="D62" s="110"/>
      <c r="E62" s="114"/>
    </row>
    <row r="63" spans="2:5">
      <c r="B63" s="110">
        <v>307</v>
      </c>
      <c r="C63" s="108" t="s">
        <v>210</v>
      </c>
      <c r="D63" s="110"/>
      <c r="E63" s="114"/>
    </row>
    <row r="64" spans="2:5">
      <c r="B64" s="110">
        <v>308</v>
      </c>
      <c r="C64" s="108" t="s">
        <v>211</v>
      </c>
      <c r="D64" s="110"/>
      <c r="E64" s="114"/>
    </row>
    <row r="65" spans="2:5">
      <c r="B65" s="110">
        <v>314</v>
      </c>
      <c r="C65" s="108" t="s">
        <v>211</v>
      </c>
      <c r="D65" s="110"/>
      <c r="E65" s="114"/>
    </row>
    <row r="66" spans="2:5">
      <c r="B66" s="110">
        <v>314</v>
      </c>
      <c r="C66" s="108" t="s">
        <v>210</v>
      </c>
      <c r="D66" s="110"/>
      <c r="E66" s="114"/>
    </row>
    <row r="67" spans="2:5">
      <c r="B67" s="110">
        <v>316</v>
      </c>
      <c r="C67" s="108" t="s">
        <v>211</v>
      </c>
      <c r="D67" s="110"/>
      <c r="E67" s="114"/>
    </row>
    <row r="68" spans="2:5">
      <c r="B68" s="110">
        <v>320</v>
      </c>
      <c r="C68" s="108" t="s">
        <v>210</v>
      </c>
      <c r="D68" s="110"/>
      <c r="E68" s="114"/>
    </row>
    <row r="69" spans="2:5">
      <c r="B69" s="110">
        <v>340</v>
      </c>
      <c r="C69" s="108" t="s">
        <v>210</v>
      </c>
      <c r="D69" s="110"/>
      <c r="E69" s="114"/>
    </row>
    <row r="70" spans="2:5">
      <c r="B70" s="110">
        <v>340</v>
      </c>
      <c r="C70" s="108" t="s">
        <v>211</v>
      </c>
      <c r="D70" s="110"/>
      <c r="E70" s="114"/>
    </row>
    <row r="71" spans="2:5">
      <c r="B71" s="110">
        <v>348</v>
      </c>
      <c r="C71" s="108" t="s">
        <v>211</v>
      </c>
      <c r="D71" s="110"/>
      <c r="E71" s="114"/>
    </row>
    <row r="72" spans="2:5">
      <c r="B72" s="110">
        <v>353</v>
      </c>
      <c r="C72" s="108" t="s">
        <v>210</v>
      </c>
      <c r="D72" s="110"/>
      <c r="E72" s="114"/>
    </row>
    <row r="73" spans="2:5">
      <c r="B73" s="110">
        <v>358</v>
      </c>
      <c r="C73" s="108" t="s">
        <v>211</v>
      </c>
      <c r="D73" s="110"/>
      <c r="E73" s="114"/>
    </row>
    <row r="74" spans="2:5">
      <c r="B74" s="110">
        <v>359</v>
      </c>
      <c r="C74" s="108" t="s">
        <v>210</v>
      </c>
      <c r="D74" s="110"/>
      <c r="E74" s="114"/>
    </row>
    <row r="75" spans="2:5">
      <c r="B75" s="110">
        <v>360</v>
      </c>
      <c r="C75" s="108" t="s">
        <v>210</v>
      </c>
      <c r="D75" s="110"/>
      <c r="E75" s="114"/>
    </row>
    <row r="76" spans="2:5">
      <c r="B76" s="110">
        <v>371</v>
      </c>
      <c r="C76" s="108" t="s">
        <v>210</v>
      </c>
      <c r="D76" s="110"/>
      <c r="E76" s="114"/>
    </row>
    <row r="77" spans="2:5">
      <c r="B77" s="110">
        <v>390</v>
      </c>
      <c r="C77" s="108" t="s">
        <v>211</v>
      </c>
      <c r="D77" s="110"/>
      <c r="E77" s="114"/>
    </row>
    <row r="78" spans="2:5">
      <c r="B78" s="110">
        <v>397</v>
      </c>
      <c r="C78" s="108" t="s">
        <v>211</v>
      </c>
      <c r="D78" s="110"/>
      <c r="E78" s="114"/>
    </row>
    <row r="79" spans="2:5">
      <c r="B79" s="110">
        <v>410</v>
      </c>
      <c r="C79" s="108" t="s">
        <v>211</v>
      </c>
      <c r="D79" s="110"/>
      <c r="E79" s="114"/>
    </row>
    <row r="80" spans="2:5">
      <c r="B80" s="110">
        <v>423</v>
      </c>
      <c r="C80" s="108" t="s">
        <v>211</v>
      </c>
      <c r="D80" s="110"/>
      <c r="E80" s="114"/>
    </row>
    <row r="81" spans="2:5">
      <c r="B81" s="110">
        <v>425</v>
      </c>
      <c r="C81" s="108" t="s">
        <v>210</v>
      </c>
      <c r="D81" s="110"/>
      <c r="E81" s="114"/>
    </row>
    <row r="82" spans="2:5">
      <c r="B82" s="110">
        <v>437</v>
      </c>
      <c r="C82" s="108" t="s">
        <v>210</v>
      </c>
      <c r="D82" s="110"/>
      <c r="E82" s="114"/>
    </row>
    <row r="83" spans="2:5">
      <c r="B83" s="110">
        <v>446</v>
      </c>
      <c r="C83" s="108" t="s">
        <v>211</v>
      </c>
      <c r="D83" s="110"/>
      <c r="E83" s="114"/>
    </row>
    <row r="84" spans="2:5">
      <c r="B84" s="110">
        <v>472</v>
      </c>
      <c r="C84" s="108" t="s">
        <v>210</v>
      </c>
      <c r="D84" s="110"/>
      <c r="E84" s="114"/>
    </row>
    <row r="85" spans="2:5">
      <c r="B85" s="110">
        <v>474</v>
      </c>
      <c r="C85" s="108" t="s">
        <v>211</v>
      </c>
      <c r="D85" s="110"/>
      <c r="E85" s="114"/>
    </row>
    <row r="86" spans="2:5">
      <c r="B86" s="110">
        <v>482</v>
      </c>
      <c r="C86" s="108" t="s">
        <v>211</v>
      </c>
      <c r="D86" s="110"/>
      <c r="E86" s="114"/>
    </row>
    <row r="87" spans="2:5">
      <c r="B87" s="110">
        <v>483</v>
      </c>
      <c r="C87" s="108" t="s">
        <v>210</v>
      </c>
      <c r="D87" s="110"/>
      <c r="E87" s="114"/>
    </row>
    <row r="88" spans="2:5">
      <c r="B88" s="110">
        <v>499</v>
      </c>
      <c r="C88" s="108" t="s">
        <v>210</v>
      </c>
      <c r="D88" s="110"/>
      <c r="E88" s="114"/>
    </row>
    <row r="89" spans="2:5">
      <c r="B89" s="110">
        <v>506</v>
      </c>
      <c r="C89" s="108" t="s">
        <v>210</v>
      </c>
      <c r="D89" s="110"/>
      <c r="E89" s="114"/>
    </row>
    <row r="90" spans="2:5">
      <c r="B90" s="110">
        <v>508</v>
      </c>
      <c r="C90" s="108" t="s">
        <v>211</v>
      </c>
      <c r="D90" s="110"/>
      <c r="E90" s="114"/>
    </row>
  </sheetData>
  <sortState ref="B9:C76">
    <sortCondition ref="B9"/>
  </sortState>
  <pageMargins left="0.7" right="0.7" top="0.75" bottom="0.75" header="0.3" footer="0.3"/>
</worksheet>
</file>

<file path=xl/worksheets/sheet25.xml><?xml version="1.0" encoding="utf-8"?>
<worksheet xmlns="http://schemas.openxmlformats.org/spreadsheetml/2006/main" xmlns:r="http://schemas.openxmlformats.org/officeDocument/2006/relationships">
  <dimension ref="C4:H8"/>
  <sheetViews>
    <sheetView showGridLines="0" showRowColHeaders="0" topLeftCell="A2" workbookViewId="0">
      <selection activeCell="G6" sqref="G6:G8"/>
    </sheetView>
  </sheetViews>
  <sheetFormatPr defaultColWidth="28.28515625" defaultRowHeight="15"/>
  <cols>
    <col min="1" max="2" width="3" customWidth="1"/>
    <col min="3" max="3" width="11.28515625" bestFit="1" customWidth="1"/>
    <col min="4" max="4" width="7.5703125" bestFit="1" customWidth="1"/>
    <col min="5" max="5" width="10" bestFit="1" customWidth="1"/>
    <col min="6" max="6" width="9" bestFit="1" customWidth="1"/>
    <col min="7" max="7" width="13.5703125" bestFit="1" customWidth="1"/>
  </cols>
  <sheetData>
    <row r="4" spans="3:8" ht="60">
      <c r="C4" s="115" t="s">
        <v>212</v>
      </c>
      <c r="D4" s="116" t="s">
        <v>213</v>
      </c>
      <c r="E4" s="116" t="s">
        <v>219</v>
      </c>
      <c r="F4" s="116" t="s">
        <v>214</v>
      </c>
      <c r="G4" s="116" t="s">
        <v>215</v>
      </c>
      <c r="H4" s="116"/>
    </row>
    <row r="5" spans="3:8">
      <c r="C5" s="117" t="s">
        <v>216</v>
      </c>
      <c r="D5" s="117">
        <v>2</v>
      </c>
      <c r="E5" s="117">
        <v>1</v>
      </c>
      <c r="F5" s="117" t="s">
        <v>217</v>
      </c>
      <c r="G5" s="118" t="s">
        <v>220</v>
      </c>
      <c r="H5" s="118" t="s">
        <v>221</v>
      </c>
    </row>
    <row r="6" spans="3:8">
      <c r="C6" s="117" t="s">
        <v>216</v>
      </c>
      <c r="D6" s="117">
        <v>2</v>
      </c>
      <c r="E6" s="117">
        <v>5</v>
      </c>
      <c r="F6" s="117" t="s">
        <v>217</v>
      </c>
      <c r="G6" s="118"/>
      <c r="H6" s="118"/>
    </row>
    <row r="7" spans="3:8">
      <c r="C7" s="117" t="s">
        <v>216</v>
      </c>
      <c r="D7" s="117">
        <v>2</v>
      </c>
      <c r="E7" s="117">
        <v>1</v>
      </c>
      <c r="F7" s="117" t="s">
        <v>218</v>
      </c>
      <c r="G7" s="118"/>
      <c r="H7" s="118"/>
    </row>
    <row r="8" spans="3:8">
      <c r="C8" s="117" t="s">
        <v>216</v>
      </c>
      <c r="D8" s="117">
        <v>2</v>
      </c>
      <c r="E8" s="117">
        <v>5</v>
      </c>
      <c r="F8" s="117" t="s">
        <v>218</v>
      </c>
      <c r="G8" s="118"/>
      <c r="H8" s="11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Question Paper for Excel</vt:lpstr>
      <vt:lpstr>Question 1</vt:lpstr>
      <vt:lpstr>Question 2</vt:lpstr>
      <vt:lpstr>Question 3</vt:lpstr>
      <vt:lpstr>Question 4</vt:lpstr>
      <vt:lpstr>Question 5</vt:lpstr>
      <vt:lpstr>Question 6</vt:lpstr>
      <vt:lpstr>Question 7</vt:lpstr>
      <vt:lpstr>Question 8</vt:lpstr>
      <vt:lpstr>Question 9</vt:lpstr>
      <vt:lpstr>Question 10</vt:lpstr>
      <vt:lpstr>Question 11</vt:lpstr>
      <vt:lpstr>Question 12</vt:lpstr>
      <vt:lpstr>Question 13</vt:lpstr>
      <vt:lpstr>Question 14</vt:lpstr>
      <vt:lpstr>Question 15</vt:lpstr>
      <vt:lpstr>Question 16</vt:lpstr>
      <vt:lpstr>Question 17</vt:lpstr>
      <vt:lpstr>Question 18</vt:lpstr>
      <vt:lpstr>Question 19</vt:lpstr>
      <vt:lpstr>Question 20</vt:lpstr>
      <vt:lpstr>Question 21</vt:lpstr>
      <vt:lpstr>Question 22</vt:lpstr>
      <vt:lpstr>Question 23</vt:lpstr>
      <vt:lpstr>Question 24</vt:lpstr>
      <vt:lpstr>'Question 12'!Extract</vt:lpstr>
    </vt:vector>
  </TitlesOfParts>
  <Company>UnitedHealth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Sharma, Varun</dc:creator>
  <cp:lastModifiedBy>User</cp:lastModifiedBy>
  <dcterms:created xsi:type="dcterms:W3CDTF">2015-04-29T13:47:12Z</dcterms:created>
  <dcterms:modified xsi:type="dcterms:W3CDTF">2019-09-30T05:03:43Z</dcterms:modified>
</cp:coreProperties>
</file>